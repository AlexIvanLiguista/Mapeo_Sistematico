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fc3d6934ecea00b7/MAESTRÍA/TITULACIÓN/TITULACIÓN REVISIÓN/"/>
    </mc:Choice>
  </mc:AlternateContent>
  <xr:revisionPtr revIDLastSave="2316" documentId="8_{621699E7-3584-4A4C-8398-FC45E37A0B98}" xr6:coauthVersionLast="47" xr6:coauthVersionMax="47" xr10:uidLastSave="{E801B655-2F48-4260-A997-CC35B865DD6C}"/>
  <bookViews>
    <workbookView xWindow="-28920" yWindow="-120" windowWidth="29040" windowHeight="15720" xr2:uid="{24CA21B9-AE37-4F06-9E6A-9571CC3F8564}"/>
  </bookViews>
  <sheets>
    <sheet name="Evaluación individual" sheetId="1" r:id="rId1"/>
    <sheet name="Rúbrica de puntuació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6" i="1" l="1"/>
  <c r="F195" i="1"/>
  <c r="H195" i="1"/>
  <c r="M202" i="1"/>
  <c r="M201" i="1"/>
  <c r="M200" i="1"/>
  <c r="M199" i="1"/>
  <c r="M198" i="1"/>
  <c r="M197" i="1"/>
  <c r="J195" i="1"/>
  <c r="D195" i="1"/>
  <c r="B195" i="1"/>
  <c r="M195" i="1"/>
  <c r="M4" i="1"/>
  <c r="M2" i="1"/>
  <c r="M3"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alcChain>
</file>

<file path=xl/sharedStrings.xml><?xml version="1.0" encoding="utf-8"?>
<sst xmlns="http://schemas.openxmlformats.org/spreadsheetml/2006/main" count="1216" uniqueCount="1147">
  <si>
    <t>ID</t>
  </si>
  <si>
    <t>A01</t>
  </si>
  <si>
    <t>Nota EQ1</t>
  </si>
  <si>
    <t>Nota EQ2</t>
  </si>
  <si>
    <t>Nota EQ3</t>
  </si>
  <si>
    <t>Nota EQ4</t>
  </si>
  <si>
    <t>Nota EQ5</t>
  </si>
  <si>
    <t>El tipo de estudio se define claramente como "Propuesta metodológica y validación empírica". El resumen describe un framework (DeepJIT), lo que indica una metodología sistemática.</t>
  </si>
  <si>
    <t>Puntuación (0-5) 
EQ1</t>
  </si>
  <si>
    <t>Puntuación (0-5) 
EQ2</t>
  </si>
  <si>
    <t>El resumen indica que se aplica a un problema real ("predicción de defectos en el proceso de control de calidad"), pero no especifica si el contexto es industrial o si se usan datos de proyectos open-source. Se asume un contexto realista pero no estrictamente industrial.</t>
  </si>
  <si>
    <t>Puntuación (0-5)
EQ3</t>
  </si>
  <si>
    <t>Puntuación (0-5)
EQ4</t>
  </si>
  <si>
    <t>Puntuación (0-5)
EQ5</t>
  </si>
  <si>
    <t>El resumen reporta explícitamente una "mejora en la precisión frente a modelos tradicionales", lo cual es una evidencia clara de impacto positivo en una métrica clave (precisión).</t>
  </si>
  <si>
    <r>
      <t xml:space="preserve">Se discute claramente la aplicabilidad de la herramienta en flujos de trabajo de </t>
    </r>
    <r>
      <rPr>
        <b/>
        <sz val="11"/>
        <color theme="1"/>
        <rFont val="Aptos Narrow"/>
        <family val="2"/>
        <scheme val="minor"/>
      </rPr>
      <t>Integración Continua (CI/CD)</t>
    </r>
    <r>
      <rPr>
        <sz val="11"/>
        <color theme="1"/>
        <rFont val="Aptos Narrow"/>
        <family val="2"/>
        <scheme val="minor"/>
      </rPr>
      <t xml:space="preserve"> y revisiones de código, lo que demuestra una alta consideración por la integración en el ecosistema ágil.</t>
    </r>
  </si>
  <si>
    <t>La descripción de la arquitectura ("CNN; arquitectura end-to-end") y su aplicación parece lo suficientemente detallada para que la propuesta pueda ser reimplementada conceptualmente, aunque el resumen no menciona si el código o los datos son públicos.</t>
  </si>
  <si>
    <t>A02</t>
  </si>
  <si>
    <t>El tipo de estudio está claramente definido como "Propuesta arquitectónica con estudio de caso". El resumen detalla la arquitectura, indicando una metodología sistemática y bien estructurada.</t>
  </si>
  <si>
    <t>El estudio se valida con un "estudio de caso" que implica "integración con sistemas empresariales". Esto sugiere fuertemente un contexto real y práctico, aunque no se especifica si fue un estudio a largo plazo en un entorno de producción completo.</t>
  </si>
  <si>
    <r>
      <t xml:space="preserve">Se reporta una evidencia cuantitativa de impacto: </t>
    </r>
    <r>
      <rPr>
        <b/>
        <sz val="11"/>
        <color theme="1"/>
        <rFont val="Aptos Narrow"/>
        <family val="2"/>
        <scheme val="minor"/>
      </rPr>
      <t>"Mejora el tiempo de despliegue de soluciones inteligentes"</t>
    </r>
    <r>
      <rPr>
        <sz val="11"/>
        <color theme="1"/>
        <rFont val="Aptos Narrow"/>
        <family val="2"/>
        <scheme val="minor"/>
      </rPr>
      <t>. Este es un beneficio directo y medible en una métrica ágil clave (velocidad de entrega).</t>
    </r>
  </si>
  <si>
    <t>La discusión sobre la integración es el núcleo del estudio. Se mencionan explícitamente "pipelines de ML en tiempo real" y la "integración continua (CI/CD)", demostrando un enfoque total en el ecosistema de herramientas ágiles y DevOps.</t>
  </si>
  <si>
    <t>Al ser una propuesta de arquitectura, se asume que la descripción es lo suficientemente detallada para que la propuesta pueda ser reimplementada conceptualmente. Sin embargo, no se menciona si el código o los datos son públicos.</t>
  </si>
  <si>
    <t>A03</t>
  </si>
  <si>
    <t>El tipo de estudio está claramente definido como "Propuesta metodológica con validación experimental", lo que indica una metodología de investigación sistemática y rigurosa.</t>
  </si>
  <si>
    <t>La validación se realiza sobre artefactos reales del desarrollo ágil ("historias de usuario"), pero el resumen no especifica si los datos provienen de un contexto industrial o de repositorios de código abierto. Se considera una validación en un contexto realista.</t>
  </si>
  <si>
    <r>
      <t xml:space="preserve">Se reporta una evidencia cuantitativa directa de impacto: </t>
    </r>
    <r>
      <rPr>
        <b/>
        <sz val="11"/>
        <color theme="1"/>
        <rFont val="Aptos Narrow"/>
        <family val="2"/>
        <scheme val="minor"/>
      </rPr>
      <t>"Mejora la precisión de estimaciones respecto a métodos tradicionales"</t>
    </r>
    <r>
      <rPr>
        <sz val="11"/>
        <color theme="1"/>
        <rFont val="Aptos Narrow"/>
        <family val="2"/>
        <scheme val="minor"/>
      </rPr>
      <t>. Este es un beneficio claro y medible.</t>
    </r>
  </si>
  <si>
    <t>El resumen se centra en la técnica de estimación en sí misma, pero no discute explícitamente la integración de esta propuesta en herramientas o flujos de trabajo existentes (como Jira o pipelines de CI/CD). La integración se asume, pero no se detalla.</t>
  </si>
  <si>
    <t>El estudio detalla una amplia gama de técnicas específicas utilizadas (Bag of Words, TF-IDF, Doc2Vec, etc.), lo que proporciona un alto nivel de detalle y facilita que la propuesta pueda ser replicada por otros investigadores.</t>
  </si>
  <si>
    <t>A04</t>
  </si>
  <si>
    <t>El tipo de estudio está claramente definido como "Estudio empírico y desarrollo de modelo de IA", lo que demuestra una metodología de investigación sistemática.</t>
  </si>
  <si>
    <t>La propuesta se aplica en "contextos ágiles", lo cual es un entorno realista. Sin embargo, el resumen no especifica si la validación se hizo con datos industriales o de proyectos open-source, por lo que no se puede asegurar un contexto industrial completo.</t>
  </si>
  <si>
    <r>
      <t xml:space="preserve">Se reportan evidencias claras y directas de impacto en métricas relevantes para la agilidad: </t>
    </r>
    <r>
      <rPr>
        <b/>
        <sz val="11"/>
        <color theme="1"/>
        <rFont val="Aptos Narrow"/>
        <family val="2"/>
        <scheme val="minor"/>
      </rPr>
      <t>"Reduce tiempo en diagnóstico"</t>
    </r>
    <r>
      <rPr>
        <sz val="11"/>
        <color theme="1"/>
        <rFont val="Aptos Narrow"/>
        <family val="2"/>
        <scheme val="minor"/>
      </rPr>
      <t xml:space="preserve"> y </t>
    </r>
    <r>
      <rPr>
        <b/>
        <sz val="11"/>
        <color theme="1"/>
        <rFont val="Aptos Narrow"/>
        <family val="2"/>
        <scheme val="minor"/>
      </rPr>
      <t>"mejora precisión de categorización de fallas"</t>
    </r>
    <r>
      <rPr>
        <sz val="11"/>
        <color theme="1"/>
        <rFont val="Aptos Narrow"/>
        <family val="2"/>
        <scheme val="minor"/>
      </rPr>
      <t>.</t>
    </r>
  </si>
  <si>
    <t>El estudio se centra en el "análisis de causa raíz" dentro de los "entornos de pruebas ágiles", lo que inherentemente discute la integración en el flujo de trabajo de QA. La propuesta está diseñada para acoplarse al ecosistema de testing.</t>
  </si>
  <si>
    <t>Se detallan las técnicas específicas utilizadas (Autoencoders, MLP, clustering), lo que proporciona un alto nivel de detalle técnico que facilita la reproducibilidad del enfoque por parte de otros investigadores.</t>
  </si>
  <si>
    <t>A05</t>
  </si>
  <si>
    <t>El estudio se define como una "propuesta conceptual". Presenta un marco, pero carece de la metodología de investigación sistemática (ej. experimento, caso de estudio) de otros trabajos.</t>
  </si>
  <si>
    <r>
      <t xml:space="preserve">El resumen es explícito en este punto. La PI4 indica: </t>
    </r>
    <r>
      <rPr>
        <b/>
        <sz val="11"/>
        <color theme="1"/>
        <rFont val="Aptos Narrow"/>
        <family val="2"/>
        <scheme val="minor"/>
      </rPr>
      <t>"Falta de estudios de caso o validación cuantitativa"</t>
    </r>
    <r>
      <rPr>
        <sz val="11"/>
        <color theme="1"/>
        <rFont val="Aptos Narrow"/>
        <family val="2"/>
        <scheme val="minor"/>
      </rPr>
      <t>. La propuesta es puramente teórica y no se valida en ningún contexto real.</t>
    </r>
  </si>
  <si>
    <r>
      <t xml:space="preserve">Aunque se enumeran beneficios potenciales ("Reducción de costos", "automatización"), el propio resumen aclara que </t>
    </r>
    <r>
      <rPr>
        <b/>
        <sz val="11"/>
        <color theme="1"/>
        <rFont val="Aptos Narrow"/>
        <family val="2"/>
        <scheme val="minor"/>
      </rPr>
      <t>no hay validación cuantitativa ni estudios de caso</t>
    </r>
    <r>
      <rPr>
        <sz val="11"/>
        <color theme="1"/>
        <rFont val="Aptos Narrow"/>
        <family val="2"/>
        <scheme val="minor"/>
      </rPr>
      <t>. Los beneficios son afirmados, pero no respaldados por evidencia.</t>
    </r>
  </si>
  <si>
    <r>
      <t xml:space="preserve">Se discute la integración a un nivel conceptual ("gestión ágil"), pero la PI4 señala que </t>
    </r>
    <r>
      <rPr>
        <b/>
        <sz val="11"/>
        <color theme="1"/>
        <rFont val="Aptos Narrow"/>
        <family val="2"/>
        <scheme val="minor"/>
      </rPr>
      <t>"no se especifica cómo aplicar las herramientas en la práctica"</t>
    </r>
    <r>
      <rPr>
        <sz val="11"/>
        <color theme="1"/>
        <rFont val="Aptos Narrow"/>
        <family val="2"/>
        <scheme val="minor"/>
      </rPr>
      <t>. La discusión sobre la integración en el ecosistema es, por tanto, superficial.</t>
    </r>
  </si>
  <si>
    <t>La propuesta se basa en "técnicas genéricas de IA" y no detalla su aplicación práctica. Esta falta de detalle técnico hace que la propuesta sea muy difícil de reproducir.</t>
  </si>
  <si>
    <t>A06</t>
  </si>
  <si>
    <t>El tipo de estudio es explícitamente un "estudio empírico comparativo con validación experimental", lo que indica una metodología de investigación muy clara y sistemática.</t>
  </si>
  <si>
    <t>La aplicación se realiza sobre un problema central de los "entornos ágiles". Se asume que la validación utiliza datos de proyectos de software reales (industriales u open-source), lo que lo sitúa en un contexto realista, aunque no se detalla.</t>
  </si>
  <si>
    <r>
      <t xml:space="preserve">Se reportan múltiples evidencias de impacto: </t>
    </r>
    <r>
      <rPr>
        <b/>
        <sz val="11"/>
        <color theme="1"/>
        <rFont val="Aptos Narrow"/>
        <family val="2"/>
        <scheme val="minor"/>
      </rPr>
      <t>"Mejora precisión de estimación"</t>
    </r>
    <r>
      <rPr>
        <sz val="11"/>
        <color theme="1"/>
        <rFont val="Aptos Narrow"/>
        <family val="2"/>
        <scheme val="minor"/>
      </rPr>
      <t xml:space="preserve">, </t>
    </r>
    <r>
      <rPr>
        <b/>
        <sz val="11"/>
        <color theme="1"/>
        <rFont val="Aptos Narrow"/>
        <family val="2"/>
        <scheme val="minor"/>
      </rPr>
      <t>"reducción de esfuerzo manual"</t>
    </r>
    <r>
      <rPr>
        <sz val="11"/>
        <color theme="1"/>
        <rFont val="Aptos Narrow"/>
        <family val="2"/>
        <scheme val="minor"/>
      </rPr>
      <t xml:space="preserve"> y </t>
    </r>
    <r>
      <rPr>
        <b/>
        <sz val="11"/>
        <color theme="1"/>
        <rFont val="Aptos Narrow"/>
        <family val="2"/>
        <scheme val="minor"/>
      </rPr>
      <t>"automatización del análisis"</t>
    </r>
    <r>
      <rPr>
        <sz val="11"/>
        <color theme="1"/>
        <rFont val="Aptos Narrow"/>
        <family val="2"/>
        <scheme val="minor"/>
      </rPr>
      <t>. Al ser un estudio comparativo, la evidencia del impacto es el núcleo del trabajo.</t>
    </r>
  </si>
  <si>
    <t>El resumen se centra en la comparación de rendimiento de los modelos de ML, pero no discute explícitamente cómo estos se integrarían en herramientas o flujos de trabajo del ecosistema ágil. La integración no es el foco principal.</t>
  </si>
  <si>
    <t>El estudio es una comparación de múltiples modelos bien conocidos (Random Forest, SVM, etc.). Esta naturaleza comparativa y el uso de técnicas estándar sugieren que el proceso está bien detallado y es altamente reproducible.</t>
  </si>
  <si>
    <t>A07</t>
  </si>
  <si>
    <t>La metodología es muy clara: un "estudio empírico comparativo" que analiza datos extraídos directamente de Jira. Es un enfoque de investigación sistemático.</t>
  </si>
  <si>
    <t>Este es el punto más fuerte del estudio. La validación se realiza en un "único entorno empresarial" utilizando datos de "proyectos reales en JIRA", lo que representa el máximo nivel de contexto industrial.</t>
  </si>
  <si>
    <r>
      <t xml:space="preserve">El estudio no propone una solución de IA, sino que analiza el impacto de </t>
    </r>
    <r>
      <rPr>
        <i/>
        <sz val="11"/>
        <color theme="1"/>
        <rFont val="Aptos Narrow"/>
        <family val="2"/>
        <scheme val="minor"/>
      </rPr>
      <t>desarrollar</t>
    </r>
    <r>
      <rPr>
        <sz val="11"/>
        <color theme="1"/>
        <rFont val="Aptos Narrow"/>
        <family val="2"/>
        <scheme val="minor"/>
      </rPr>
      <t xml:space="preserve"> proyectos de IA con agilidad. Por lo tanto, no presenta evidencias del impacto de una solución, sino que </t>
    </r>
    <r>
      <rPr>
        <b/>
        <sz val="11"/>
        <color theme="1"/>
        <rFont val="Aptos Narrow"/>
        <family val="2"/>
        <scheme val="minor"/>
      </rPr>
      <t>identifica problemas</t>
    </r>
    <r>
      <rPr>
        <sz val="11"/>
        <color theme="1"/>
        <rFont val="Aptos Narrow"/>
        <family val="2"/>
        <scheme val="minor"/>
      </rPr>
      <t xml:space="preserve"> (mayor incertidumbre, problemas de estimación).</t>
    </r>
  </si>
  <si>
    <r>
      <t xml:space="preserve">El trabajo se centra por completo en el ecosistema ágil real, analizando tareas en </t>
    </r>
    <r>
      <rPr>
        <b/>
        <sz val="11"/>
        <color theme="1"/>
        <rFont val="Aptos Narrow"/>
        <family val="2"/>
        <scheme val="minor"/>
      </rPr>
      <t>Jira</t>
    </r>
    <r>
      <rPr>
        <sz val="11"/>
        <color theme="1"/>
        <rFont val="Aptos Narrow"/>
        <family val="2"/>
        <scheme val="minor"/>
      </rPr>
      <t xml:space="preserve"> y el proceso </t>
    </r>
    <r>
      <rPr>
        <b/>
        <sz val="11"/>
        <color theme="1"/>
        <rFont val="Aptos Narrow"/>
        <family val="2"/>
        <scheme val="minor"/>
      </rPr>
      <t>Scrum</t>
    </r>
    <r>
      <rPr>
        <sz val="11"/>
        <color theme="1"/>
        <rFont val="Aptos Narrow"/>
        <family val="2"/>
        <scheme val="minor"/>
      </rPr>
      <t>. Aunque no propone una nueva integración, discute en profundidad la interacción con las herramientas existentes.</t>
    </r>
  </si>
  <si>
    <t>El resumen indica como limitación la "generalización; el estudio se basa en un único entorno empresarial". Dado que los datos son privados y el contexto es específico, la propuesta no es directamente reproducible por otros investigadores.</t>
  </si>
  <si>
    <t>A09</t>
  </si>
  <si>
    <t>El tipo de estudio es una "Revisión Sistemática", que por definición sigue una metodología de investigación explícita, rigurosa y sistemática.</t>
  </si>
  <si>
    <t>Al ser un estudio secundario (una revisión), no presenta una solución propia que sea validada en un contexto industrial o real. Su "validación" es la rigurosidad de su propio proceso de revisión.</t>
  </si>
  <si>
    <t>De manera similar a la EQ2, no proporciona evidencia primaria del impacto de una solución. En su lugar, sintetiza los beneficios y evidencias reportados por otros estudios.</t>
  </si>
  <si>
    <t>No aplica. El estudio es un documento de revisión y no una herramienta o propuesta técnica que requiera ser integrada en un ecosistema.</t>
  </si>
  <si>
    <t>La reproducibilidad es un pilar fundamental de cualquier revisión sistemática. Se asume que el estudio detalla su protocolo de búsqueda, criterios de selección y proceso de análisis, haciéndolo completamente reproducible.</t>
  </si>
  <si>
    <t>Nota Adicional</t>
  </si>
  <si>
    <r>
      <t xml:space="preserve">El bajo puntaje total </t>
    </r>
    <r>
      <rPr>
        <b/>
        <sz val="11"/>
        <color theme="1"/>
        <rFont val="Aptos Narrow"/>
        <family val="2"/>
        <scheme val="minor"/>
      </rPr>
      <t>no indica que el estudio sea de baja calidad</t>
    </r>
    <r>
      <rPr>
        <sz val="11"/>
        <color theme="1"/>
        <rFont val="Aptos Narrow"/>
        <family val="2"/>
        <scheme val="minor"/>
      </rPr>
      <t xml:space="preserve">. Al contrario, es una revisión sistemática y, por tanto, un trabajo de alto valor. El puntaje es bajo porque nuestra rúbrica (EQ2, EQ3, EQ4) está diseñada para evaluar la validación y aplicabilidad de </t>
    </r>
    <r>
      <rPr>
        <b/>
        <sz val="11"/>
        <color theme="1"/>
        <rFont val="Aptos Narrow"/>
        <family val="2"/>
        <scheme val="minor"/>
      </rPr>
      <t>estudios primarios que proponen una solución</t>
    </r>
    <r>
      <rPr>
        <sz val="11"/>
        <color theme="1"/>
        <rFont val="Aptos Narrow"/>
        <family val="2"/>
        <scheme val="minor"/>
      </rPr>
      <t>, no para estudios secundarios como este.</t>
    </r>
  </si>
  <si>
    <t>A12</t>
  </si>
  <si>
    <t>La metodología es un "Estudio de caso industrial", un enfoque de investigación formal y reconocido que es muy relevante para la ingeniería de software aplicada.</t>
  </si>
  <si>
    <t>El estudio se desarrolla en un contexto industrial explícito y real (la empresa "La Redoute"). Este es el máximo nivel de validación en un entorno práctico.</t>
  </si>
  <si>
    <r>
      <t xml:space="preserve">Se reportan múltiples evidencias de impacto positivo y medible en métricas clave de DevOps/agilidad: </t>
    </r>
    <r>
      <rPr>
        <b/>
        <sz val="11"/>
        <color theme="1"/>
        <rFont val="Aptos Narrow"/>
        <family val="2"/>
        <scheme val="minor"/>
      </rPr>
      <t>"reducción de incidencias en producción"</t>
    </r>
    <r>
      <rPr>
        <sz val="11"/>
        <color theme="1"/>
        <rFont val="Aptos Narrow"/>
        <family val="2"/>
        <scheme val="minor"/>
      </rPr>
      <t xml:space="preserve"> y </t>
    </r>
    <r>
      <rPr>
        <b/>
        <sz val="11"/>
        <color theme="1"/>
        <rFont val="Aptos Narrow"/>
        <family val="2"/>
        <scheme val="minor"/>
      </rPr>
      <t>"aumento de velocidad en releases"</t>
    </r>
    <r>
      <rPr>
        <sz val="11"/>
        <color theme="1"/>
        <rFont val="Aptos Narrow"/>
        <family val="2"/>
        <scheme val="minor"/>
      </rPr>
      <t>.</t>
    </r>
  </si>
  <si>
    <r>
      <t xml:space="preserve">El núcleo del estudio es la mejora de un pipeline de CI/CD. El resumen menciona explícitamente la </t>
    </r>
    <r>
      <rPr>
        <b/>
        <sz val="11"/>
        <color theme="1"/>
        <rFont val="Aptos Narrow"/>
        <family val="2"/>
        <scheme val="minor"/>
      </rPr>
      <t>"integración con Jenkins, SonarQube y Cerberus"</t>
    </r>
    <r>
      <rPr>
        <sz val="11"/>
        <color theme="1"/>
        <rFont val="Aptos Narrow"/>
        <family val="2"/>
        <scheme val="minor"/>
      </rPr>
      <t>, demostrando una integración profunda y real con el ecosistema de herramientas.</t>
    </r>
  </si>
  <si>
    <t>Aunque el enfoque y las herramientas se describen bien, al ser un caso de estudio industrial, es probable que los datos ("histórico de logs etiquetados") y el contexto específico de la empresa sean privados, lo que dificulta una replicación directa por parte de terceros.</t>
  </si>
  <si>
    <t>A13</t>
  </si>
  <si>
    <t>El tipo de estudio es "Propuesta metodológica con validación en proyectos reales". Es un enfoque de investigación completo que incluye tanto la creación de un modelo como su validación, lo que demuestra una metodología sistemática.</t>
  </si>
  <si>
    <r>
      <t xml:space="preserve">El estudio se valida explícitamente en </t>
    </r>
    <r>
      <rPr>
        <b/>
        <sz val="11"/>
        <color theme="1"/>
        <rFont val="Aptos Narrow"/>
        <family val="2"/>
        <scheme val="minor"/>
      </rPr>
      <t>"proyectos reales"</t>
    </r>
    <r>
      <rPr>
        <sz val="11"/>
        <color theme="1"/>
        <rFont val="Aptos Narrow"/>
        <family val="2"/>
        <scheme val="minor"/>
      </rPr>
      <t>. Esto le otorga un alto grado de aplicabilidad en un contexto práctico, un paso más allá de los datos de laboratorio o puramente académicos.</t>
    </r>
  </si>
  <si>
    <r>
      <t xml:space="preserve">El resumen reporta evidencia de impacto en una métrica de calidad fundamental: </t>
    </r>
    <r>
      <rPr>
        <b/>
        <sz val="11"/>
        <color theme="1"/>
        <rFont val="Aptos Narrow"/>
        <family val="2"/>
        <scheme val="minor"/>
      </rPr>
      <t>"Mejora en cumplimiento de requisitos funcionales y no funcionales"</t>
    </r>
    <r>
      <rPr>
        <sz val="11"/>
        <color theme="1"/>
        <rFont val="Aptos Narrow"/>
        <family val="2"/>
        <scheme val="minor"/>
      </rPr>
      <t>. Además, el propio título del estudio ("Measuring Effectiveness") indica un foco en la medición del impacto.</t>
    </r>
  </si>
  <si>
    <t>El artículo se centra en la "integración flexible de IA en varios modelos de proceso", por lo que discute la integración a nivel conceptual y arquitectónico. Sin embargo, la PI4 señala que "no detalla herramientas específicas utilizadas", por lo que no llega al nivel de una integración técnica detallada.</t>
  </si>
  <si>
    <t>La reproducibilidad se ve limitada porque, como indica la PI4, el estudio "no detalla herramientas específicas" y el modelo propuesto "depende de expertos en IA". Esta falta de detalle técnico dificulta que otros investigadores puedan replicar el trabajo con precisión.</t>
  </si>
  <si>
    <t>A15</t>
  </si>
  <si>
    <t>El trabajo se define como un "Estudio de caso industrial", una metodología de investigación rigurosa y muy valorada en la ingeniería de software aplicada.</t>
  </si>
  <si>
    <t>El contexto es explícitamente industrial, aplicado en la empresa Salesforce. Representa el máximo nivel de validación en un entorno de producción real.</t>
  </si>
  <si>
    <r>
      <t xml:space="preserve">Se reportan evidencias claras de impacto en métricas de agilidad y DevOps: </t>
    </r>
    <r>
      <rPr>
        <b/>
        <sz val="11"/>
        <color theme="1"/>
        <rFont val="Aptos Narrow"/>
        <family val="2"/>
        <scheme val="minor"/>
      </rPr>
      <t>"Mejora la eficiencia del testing"</t>
    </r>
    <r>
      <rPr>
        <sz val="11"/>
        <color theme="1"/>
        <rFont val="Aptos Narrow"/>
        <family val="2"/>
        <scheme val="minor"/>
      </rPr>
      <t xml:space="preserve"> y </t>
    </r>
    <r>
      <rPr>
        <b/>
        <sz val="11"/>
        <color theme="1"/>
        <rFont val="Aptos Narrow"/>
        <family val="2"/>
        <scheme val="minor"/>
      </rPr>
      <t>"reduce el tiempo de retroalimentación"</t>
    </r>
    <r>
      <rPr>
        <sz val="11"/>
        <color theme="1"/>
        <rFont val="Aptos Narrow"/>
        <family val="2"/>
        <scheme val="minor"/>
      </rPr>
      <t>, lo cual es un beneficio medible y directo.</t>
    </r>
  </si>
  <si>
    <t>La propuesta se centra en la "priorización de testing en integración continua", lo que significa que la integración en el flujo de trabajo y el ecosistema de herramientas de CI/CD es el núcleo del estudio.</t>
  </si>
  <si>
    <t>Al ser un estudio de caso industrial, es muy probable que los datos, el código y la implementación exacta sean propietarios de la empresa. Aunque el enfoque se describe bien, la reproducibilidad directa es limitada para investigadores externos.</t>
  </si>
  <si>
    <t>A16</t>
  </si>
  <si>
    <t>El tipo de estudio es "experimental basado en datos", lo que define una metodología de investigación clara, cuantitativa y sistemática.</t>
  </si>
  <si>
    <t>El estudio se aplica al "testing continuo en Scrum", un contexto ágil real. Se basa en "métricas históricas", lo que implica el uso de datos de proyectos reales, aunque no se especifica si son industriales u open-source.</t>
  </si>
  <si>
    <r>
      <t xml:space="preserve">Se reporta evidencia de impacto directo y muy relevante: </t>
    </r>
    <r>
      <rPr>
        <b/>
        <sz val="11"/>
        <color theme="1"/>
        <rFont val="Aptos Narrow"/>
        <family val="2"/>
        <scheme val="minor"/>
      </rPr>
      <t>"Mejora de la calidad del software mediante predicción anticipada de errores"</t>
    </r>
    <r>
      <rPr>
        <sz val="11"/>
        <color theme="1"/>
        <rFont val="Aptos Narrow"/>
        <family val="2"/>
        <scheme val="minor"/>
      </rPr>
      <t xml:space="preserve"> y </t>
    </r>
    <r>
      <rPr>
        <b/>
        <sz val="11"/>
        <color theme="1"/>
        <rFont val="Aptos Narrow"/>
        <family val="2"/>
        <scheme val="minor"/>
      </rPr>
      <t>"reduce costos de retrabajo"</t>
    </r>
    <r>
      <rPr>
        <sz val="11"/>
        <color theme="1"/>
        <rFont val="Aptos Narrow"/>
        <family val="2"/>
        <scheme val="minor"/>
      </rPr>
      <t>.</t>
    </r>
  </si>
  <si>
    <t>La propuesta de un enfoque llamado "Analytics-Driven Testing" para Scrum implica una discusión profunda sobre cómo integrar el análisis de datos en el flujo de trabajo de QA ágil, demostrando una alta consideración por la integración.</t>
  </si>
  <si>
    <t>El estudio se basa en técnicas estándar (modelos estadísticos, regresión) y métricas conocidas (MTBF). Esta aproximación, junto con una descripción experimental, proporciona un alto grado de detalle que facilita su reproducibilidad.</t>
  </si>
  <si>
    <t>A17</t>
  </si>
  <si>
    <t>El tipo de estudio es un "Mapeo sistemático de la literatura", que por definición sigue una metodología de investigación explícita, rigurosa y sistemática.</t>
  </si>
  <si>
    <t>No aplica. Como estudio secundario, su propósito es analizar la literatura existente, no proponer y validar una solución propia en un contexto real.</t>
  </si>
  <si>
    <t>No aplica. El estudio no genera evidencia primaria sobre el impacto de una herramienta de IA. Su contribución es identificar desafíos y brechas en la investigación.</t>
  </si>
  <si>
    <t>No aplica. El resultado del estudio es un documento (el mapeo), no una herramienta de software que requiera ser integrada en un ecosistema.</t>
  </si>
  <si>
    <t>La reproducibilidad del método es un criterio de calidad esencial para un mapeo sistemático. Se asume que el estudio detalla su protocolo de búsqueda y selección, haciéndolo replicable.</t>
  </si>
  <si>
    <r>
      <t xml:space="preserve">Como en el caso del A09, el bajo puntaje total </t>
    </r>
    <r>
      <rPr>
        <b/>
        <sz val="11"/>
        <color theme="1"/>
        <rFont val="Aptos Narrow"/>
        <family val="2"/>
        <scheme val="minor"/>
      </rPr>
      <t>no indica que el estudio sea de baja calidad</t>
    </r>
    <r>
      <rPr>
        <sz val="11"/>
        <color theme="1"/>
        <rFont val="Aptos Narrow"/>
        <family val="2"/>
        <scheme val="minor"/>
      </rPr>
      <t>. Simplemente refleja que nuestra rúbrica está diseñada para evaluar estudios primarios que proponen soluciones, y no para estudios secundarios como este, cuya calidad radica en el rigor de su propio método de revisión.</t>
    </r>
  </si>
  <si>
    <t>A18</t>
  </si>
  <si>
    <t>La metodología está claramente definida: es una "propuesta de modelo" que además incluye una "evaluación cuantitativa", lo que demuestra un enfoque de investigación sistemático.</t>
  </si>
  <si>
    <r>
      <t xml:space="preserve">El resumen es explícito en este punto. La PI4 indica: </t>
    </r>
    <r>
      <rPr>
        <b/>
        <sz val="11"/>
        <color theme="1"/>
        <rFont val="Aptos Narrow"/>
        <family val="2"/>
        <scheme val="minor"/>
      </rPr>
      <t>"No se prueba en entorno real; el modelo es validado con datos simulados"</t>
    </r>
    <r>
      <rPr>
        <sz val="11"/>
        <color theme="1"/>
        <rFont val="Aptos Narrow"/>
        <family val="2"/>
        <scheme val="minor"/>
      </rPr>
      <t>. Esto sitúa la validación muy lejos de un contexto industrial o de proyecto real.</t>
    </r>
  </si>
  <si>
    <r>
      <t xml:space="preserve">El beneficio reportado es el </t>
    </r>
    <r>
      <rPr>
        <b/>
        <sz val="11"/>
        <color theme="1"/>
        <rFont val="Aptos Narrow"/>
        <family val="2"/>
        <scheme val="minor"/>
      </rPr>
      <t>"Potencial para reducir el riesgo"</t>
    </r>
    <r>
      <rPr>
        <sz val="11"/>
        <color theme="1"/>
        <rFont val="Aptos Narrow"/>
        <family val="2"/>
        <scheme val="minor"/>
      </rPr>
      <t>. El uso de la palabra "potencial" es clave, ya que, al no haber validación en un entorno real, no existe evidencia (ni cuantitativa ni cualitativa) de un impacto demostrado, solo una afirmación teórica.</t>
    </r>
  </si>
  <si>
    <t>El resumen no ofrece ninguna indicación de que se discuta la integración del modelo propuesto con herramientas o flujos de trabajo del ecosistema ágil. La propuesta se presenta de manera aislada.</t>
  </si>
  <si>
    <t>El estudio describe las técnicas utilizadas (Regresión Lineal Múltiple, Lógica Difusa). La descripción del modelo parece ser lo suficientemente detallada como para permitir una reimplementación conceptual por parte de otros investigadores.</t>
  </si>
  <si>
    <t>A19</t>
  </si>
  <si>
    <t>El tipo de estudio es una "Propuesta metodológica con validación conceptual". La metodología de la propuesta está descrita, pero la validación conceptual es menos rigurosa que una validación empírica.</t>
  </si>
  <si>
    <t>Al tener una "validación conceptual", el estudio no se prueba en un contexto industrial ni con datos de un proyecto real. La propuesta es teórica.</t>
  </si>
  <si>
    <r>
      <t xml:space="preserve">El resumen afirma beneficios como </t>
    </r>
    <r>
      <rPr>
        <b/>
        <sz val="11"/>
        <color theme="1"/>
        <rFont val="Aptos Narrow"/>
        <family val="2"/>
        <scheme val="minor"/>
      </rPr>
      <t>"disminuye errores en mantenimiento"</t>
    </r>
    <r>
      <rPr>
        <sz val="11"/>
        <color theme="1"/>
        <rFont val="Aptos Narrow"/>
        <family val="2"/>
        <scheme val="minor"/>
      </rPr>
      <t xml:space="preserve"> y </t>
    </r>
    <r>
      <rPr>
        <b/>
        <sz val="11"/>
        <color theme="1"/>
        <rFont val="Aptos Narrow"/>
        <family val="2"/>
        <scheme val="minor"/>
      </rPr>
      <t>"aumenta la adaptabilidad"</t>
    </r>
    <r>
      <rPr>
        <sz val="11"/>
        <color theme="1"/>
        <rFont val="Aptos Narrow"/>
        <family val="2"/>
        <scheme val="minor"/>
      </rPr>
      <t>. Sin embargo, al no haber validación empírica, no se proporciona evidencia que respalde estas afirmaciones.</t>
    </r>
  </si>
  <si>
    <t>El núcleo del estudio es cómo integrar una técnica de IA (MCRDR) en "entornos iterativos y colaborativos". Hay una discusión conceptual detallada sobre la integración en el proceso, aunque no en herramientas específicas.</t>
  </si>
  <si>
    <t>La propuesta se basa en una técnica específica (MCRDR - Multiple Classification Ripple Down Rules). Esta especificidad sugiere que la propuesta está lo suficientemente detallada como para ser reimplementada conceptualmente.</t>
  </si>
  <si>
    <t>A20</t>
  </si>
  <si>
    <t>El estudio propone un "marco conceptual / taxonómico" (la taxonomía AI-SEAL). La creación de una taxonomía es una metodología de investigación sistemática y reconocida para organizar un campo de estudio.</t>
  </si>
  <si>
    <t>No aplica. El artículo no propone una solución de software que requiera validación en un contexto real, sino un marco para clasificar otras investigaciones.</t>
  </si>
  <si>
    <t>No aplica. El beneficio del estudio es metodológico (proveer un marco de clasificación), no un impacto medible en una métrica ágil.</t>
  </si>
  <si>
    <t>No aplica. La propuesta es una taxonomía, no una herramienta de software que necesite ser integrada en un ecosistema.</t>
  </si>
  <si>
    <t>La taxonomía propuesta está explícitamente detallada en el documento, por lo que su uso es completamente reproducible por otros investigadores para clasificar sus propios conjuntos de estudios.</t>
  </si>
  <si>
    <r>
      <t xml:space="preserve">El bajo puntaje total </t>
    </r>
    <r>
      <rPr>
        <b/>
        <sz val="11"/>
        <color theme="1"/>
        <rFont val="Aptos Narrow"/>
        <family val="2"/>
        <scheme val="minor"/>
      </rPr>
      <t>no refleja una baja calidad del estudio</t>
    </r>
    <r>
      <rPr>
        <sz val="11"/>
        <color theme="1"/>
        <rFont val="Aptos Narrow"/>
        <family val="2"/>
        <scheme val="minor"/>
      </rPr>
      <t>. Es una consecuencia de que nuestra rúbrica está diseñada para evaluar estudios primarios que proponen y validan soluciones. La calidad de este trabajo radica en el rigor y la utilidad de su taxonomía para la comunidad investigadora.</t>
    </r>
  </si>
  <si>
    <t>A22</t>
  </si>
  <si>
    <t>El tipo de estudio es una "Propuesta de framework conceptual". Aunque presenta una estructura, carece de la validación sistemática de un estudio empírico o de caso.</t>
  </si>
  <si>
    <t>Al ser un framework conceptual, la propuesta no se valida en un contexto industrial ni con datos de un proyecto real. Es una propuesta teórica.</t>
  </si>
  <si>
    <r>
      <t xml:space="preserve">El resumen afirma beneficios potenciales como </t>
    </r>
    <r>
      <rPr>
        <b/>
        <sz val="11"/>
        <color theme="1"/>
        <rFont val="Aptos Narrow"/>
        <family val="2"/>
        <scheme val="minor"/>
      </rPr>
      <t>"Mejora la predicción de fallos y retrasos"</t>
    </r>
    <r>
      <rPr>
        <sz val="11"/>
        <color theme="1"/>
        <rFont val="Aptos Narrow"/>
        <family val="2"/>
        <scheme val="minor"/>
      </rPr>
      <t>, pero al no haber una validación empírica, no se proporciona evidencia que respalde estas afirmaciones.</t>
    </r>
  </si>
  <si>
    <t>El framework está conceptualmente diseñado para la "gestión de proyectos ágiles", por lo que discute la integración a nivel de proceso. El resumen menciona la necesidad de "integrar datos estructurados/no estructurados", mostrando una consideración conceptual por la integración.</t>
  </si>
  <si>
    <t>La propuesta se describe como una "solución integral con base técnica y organizacional", y menciona técnicas como LSTM y Word2Vec. Esto sugiere que el framework está lo suficientemente detallado como para ser reimplementado conceptualmente.</t>
  </si>
  <si>
    <t>A23</t>
  </si>
  <si>
    <t>El tipo de estudio es un "Artículo de aplicación práctica". Describe una metodología aplicada, lo cual es sistemático, aunque puede carecer del rigor formal de un experimento o un estudio de caso.</t>
  </si>
  <si>
    <t>El enfoque en "aplicaciones prácticas" sugiere que el contexto es real. Sin embargo, el resumen no especifica si se trata de un caso industrial único o una recopilación de ejemplos, por lo que se considera un contexto realista pero no un estudio industrial profundo.</t>
  </si>
  <si>
    <r>
      <t xml:space="preserve">Se reportan evidencias de impacto muy claras: </t>
    </r>
    <r>
      <rPr>
        <b/>
        <sz val="11"/>
        <color theme="1"/>
        <rFont val="Aptos Narrow"/>
        <family val="2"/>
        <scheme val="minor"/>
      </rPr>
      <t>"Mejora cobertura"</t>
    </r>
    <r>
      <rPr>
        <sz val="11"/>
        <color theme="1"/>
        <rFont val="Aptos Narrow"/>
        <family val="2"/>
        <scheme val="minor"/>
      </rPr>
      <t xml:space="preserve">, </t>
    </r>
    <r>
      <rPr>
        <b/>
        <sz val="11"/>
        <color theme="1"/>
        <rFont val="Aptos Narrow"/>
        <family val="2"/>
        <scheme val="minor"/>
      </rPr>
      <t>"reduce esfuerzo manual"</t>
    </r>
    <r>
      <rPr>
        <sz val="11"/>
        <color theme="1"/>
        <rFont val="Aptos Narrow"/>
        <family val="2"/>
        <scheme val="minor"/>
      </rPr>
      <t xml:space="preserve"> y </t>
    </r>
    <r>
      <rPr>
        <b/>
        <sz val="11"/>
        <color theme="1"/>
        <rFont val="Aptos Narrow"/>
        <family val="2"/>
        <scheme val="minor"/>
      </rPr>
      <t>"aumenta velocidad en pruebas"</t>
    </r>
    <r>
      <rPr>
        <sz val="11"/>
        <color theme="1"/>
        <rFont val="Aptos Narrow"/>
        <family val="2"/>
        <scheme val="minor"/>
      </rPr>
      <t>. Al ser un artículo práctico, se asume que estos son beneficios observados y demostrados.</t>
    </r>
  </si>
  <si>
    <t>El estudio se enmarca en el testing y el resumen de la PI5 lo posiciona como "soporte clave en prácticas DevOps y marcos ágiles", lo que indica una fuerte discusión sobre la integración en el ecosistema.</t>
  </si>
  <si>
    <t>La propuesta describe las técnicas utilizadas (ML, redes neuronales). Siendo un artículo práctico, es probable que la descripción sea suficiente para una reimplementación conceptual, aunque la PI4 menciona que "depende de ajustes específicos".</t>
  </si>
  <si>
    <t>A24</t>
  </si>
  <si>
    <t>El estudio presenta una aplicación práctica muy específica y bien definida. La metodología se centra en aplicar un modelo de ML a un problema concreto, lo que la hace clara y sistemática.</t>
  </si>
  <si>
    <t>La propuesta se aplica explícitamente a "ciclos iterativos Scrum" y "testing de integración continua". Es una validación en un contexto ágil real y práctico, un nivel por encima de un entorno de laboratorio.</t>
  </si>
  <si>
    <r>
      <t xml:space="preserve">Se reportan evidencias de impacto directo y cuantitativo sobre métricas de QA y agilidad: </t>
    </r>
    <r>
      <rPr>
        <b/>
        <sz val="11"/>
        <color theme="1"/>
        <rFont val="Aptos Narrow"/>
        <family val="2"/>
        <scheme val="minor"/>
      </rPr>
      <t>"Reduce tiempos de ejecución de pruebas"</t>
    </r>
    <r>
      <rPr>
        <sz val="11"/>
        <color theme="1"/>
        <rFont val="Aptos Narrow"/>
        <family val="2"/>
        <scheme val="minor"/>
      </rPr>
      <t xml:space="preserve"> y </t>
    </r>
    <r>
      <rPr>
        <b/>
        <sz val="11"/>
        <color theme="1"/>
        <rFont val="Aptos Narrow"/>
        <family val="2"/>
        <scheme val="minor"/>
      </rPr>
      <t>"mejora eficiencia de QA"</t>
    </r>
    <r>
      <rPr>
        <sz val="11"/>
        <color theme="1"/>
        <rFont val="Aptos Narrow"/>
        <family val="2"/>
        <scheme val="minor"/>
      </rPr>
      <t>.</t>
    </r>
  </si>
  <si>
    <r>
      <t xml:space="preserve">El estudio se centra en el uso de ML en pipelines de </t>
    </r>
    <r>
      <rPr>
        <b/>
        <sz val="11"/>
        <color theme="1"/>
        <rFont val="Aptos Narrow"/>
        <family val="2"/>
        <scheme val="minor"/>
      </rPr>
      <t>CI/CD (Integración Continua)</t>
    </r>
    <r>
      <rPr>
        <sz val="11"/>
        <color theme="1"/>
        <rFont val="Aptos Narrow"/>
        <family val="2"/>
        <scheme val="minor"/>
      </rPr>
      <t>, lo que demuestra un enfoque total en la integración con el ecosistema de herramientas y flujos de trabajo de DevOps y agilidad.</t>
    </r>
  </si>
  <si>
    <r>
      <t>La reproducibilidad es máxima. El resumen especifica la herramienta y el algoritmo exactos utilizados (</t>
    </r>
    <r>
      <rPr>
        <b/>
        <sz val="11"/>
        <color theme="1"/>
        <rFont val="Aptos Narrow"/>
        <family val="2"/>
        <scheme val="minor"/>
      </rPr>
      <t>"árboles de decisión J48 en Weka"</t>
    </r>
    <r>
      <rPr>
        <sz val="11"/>
        <color theme="1"/>
        <rFont val="Aptos Narrow"/>
        <family val="2"/>
        <scheme val="minor"/>
      </rPr>
      <t>), lo que permite a cualquier investigador replicar el experimento directamente.</t>
    </r>
  </si>
  <si>
    <t>A25</t>
  </si>
  <si>
    <t>El estudio es una "Revisión Sistemática", lo que implica por definición el seguimiento de una metodología de investigación formal, explícita y rigurosa.</t>
  </si>
  <si>
    <t>No aplica. Al ser un estudio secundario, no propone ni valida una solución propia en un contexto real, sino que analiza y sintetiza la literatura existente sobre el tema.</t>
  </si>
  <si>
    <t>No aplica. El trabajo no genera evidencia primaria sobre el impacto de una solución. Su contribución es resumir los beneficios reportados por otros estudios primarios.</t>
  </si>
  <si>
    <t>No aplica. El resultado del estudio es un documento de revisión, no una herramienta o propuesta técnica que deba ser integrada en un ecosistema de desarrollo.</t>
  </si>
  <si>
    <t>La reproducibilidad del método es un pilar fundamental de una revisión sistemática. Se asume que el estudio detalla su protocolo de búsqueda y criterios, lo que permite que otros investigadores puedan replicar el proceso.</t>
  </si>
  <si>
    <t>A26</t>
  </si>
  <si>
    <t>El estudio presenta un "marco metodológico aplicado", lo que demuestra un enfoque sistemático y claro, aunque centrado en el ámbito pedagógico.</t>
  </si>
  <si>
    <r>
      <t xml:space="preserve">La validación se realiza explícitamente en el </t>
    </r>
    <r>
      <rPr>
        <b/>
        <sz val="11"/>
        <color theme="1"/>
        <rFont val="Aptos Narrow"/>
        <family val="2"/>
        <scheme val="minor"/>
      </rPr>
      <t>"contexto educativo"</t>
    </r>
    <r>
      <rPr>
        <sz val="11"/>
        <color theme="1"/>
        <rFont val="Aptos Narrow"/>
        <family val="2"/>
        <scheme val="minor"/>
      </rPr>
      <t>. Según nuestra rúbrica, la validación con estudiantes tiene una puntuación baja en comparación con los contextos de proyectos reales (industriales u open-source).</t>
    </r>
  </si>
  <si>
    <r>
      <t xml:space="preserve">El resumen reporta evidencias de impacto positivo dentro de su propio contexto: </t>
    </r>
    <r>
      <rPr>
        <b/>
        <sz val="11"/>
        <color theme="1"/>
        <rFont val="Aptos Narrow"/>
        <family val="2"/>
        <scheme val="minor"/>
      </rPr>
      <t>"Facilita enseñanza personalizada"</t>
    </r>
    <r>
      <rPr>
        <sz val="11"/>
        <color theme="1"/>
        <rFont val="Aptos Narrow"/>
        <family val="2"/>
        <scheme val="minor"/>
      </rPr>
      <t xml:space="preserve"> y </t>
    </r>
    <r>
      <rPr>
        <b/>
        <sz val="11"/>
        <color theme="1"/>
        <rFont val="Aptos Narrow"/>
        <family val="2"/>
        <scheme val="minor"/>
      </rPr>
      <t>"refuerza habilidades"</t>
    </r>
    <r>
      <rPr>
        <sz val="11"/>
        <color theme="1"/>
        <rFont val="Aptos Narrow"/>
        <family val="2"/>
        <scheme val="minor"/>
      </rPr>
      <t>. Presenta evidencia cualitativa de su efectividad en el ámbito educativo.</t>
    </r>
  </si>
  <si>
    <t>La propuesta integra IA en un "marco educativo ágil", pero no discute la integración de una herramienta en un ecosistema de desarrollo de software (Jira, Git, etc.).</t>
  </si>
  <si>
    <t>Al proponer un framework de enseñanza detallado y mencionar las técnicas de IA utilizadas, la propuesta está lo suficientemente descrita como para ser reproducible por otros educadores o investigadores en un contexto similar.</t>
  </si>
  <si>
    <t>A30</t>
  </si>
  <si>
    <t>La metodología es un "estudio empírico" que se basa en un "análisis de datos de JIRA", lo cual es un enfoque de investigación riguroso, claro y sistemático.</t>
  </si>
  <si>
    <r>
      <t xml:space="preserve">El uso de datos de </t>
    </r>
    <r>
      <rPr>
        <b/>
        <sz val="11"/>
        <color theme="1"/>
        <rFont val="Aptos Narrow"/>
        <family val="2"/>
        <scheme val="minor"/>
      </rPr>
      <t>Jira</t>
    </r>
    <r>
      <rPr>
        <sz val="11"/>
        <color theme="1"/>
        <rFont val="Aptos Narrow"/>
        <family val="2"/>
        <scheme val="minor"/>
      </rPr>
      <t xml:space="preserve"> provenientes de "proyectos ágiles" sitúa la validación en un contexto de proyecto real y altamente relevante, un paso más allá de los datos de laboratorio.</t>
    </r>
  </si>
  <si>
    <r>
      <t xml:space="preserve">Se reportan evidencias claras de impacto en la calidad del proceso ágil: </t>
    </r>
    <r>
      <rPr>
        <b/>
        <sz val="11"/>
        <color theme="1"/>
        <rFont val="Aptos Narrow"/>
        <family val="2"/>
        <scheme val="minor"/>
      </rPr>
      <t>"Mejora en calidad de historias"</t>
    </r>
    <r>
      <rPr>
        <sz val="11"/>
        <color theme="1"/>
        <rFont val="Aptos Narrow"/>
        <family val="2"/>
        <scheme val="minor"/>
      </rPr>
      <t xml:space="preserve">, </t>
    </r>
    <r>
      <rPr>
        <b/>
        <sz val="11"/>
        <color theme="1"/>
        <rFont val="Aptos Narrow"/>
        <family val="2"/>
        <scheme val="minor"/>
      </rPr>
      <t>"reducción de ambigüedad"</t>
    </r>
    <r>
      <rPr>
        <sz val="11"/>
        <color theme="1"/>
        <rFont val="Aptos Narrow"/>
        <family val="2"/>
        <scheme val="minor"/>
      </rPr>
      <t xml:space="preserve"> y </t>
    </r>
    <r>
      <rPr>
        <b/>
        <sz val="11"/>
        <color theme="1"/>
        <rFont val="Aptos Narrow"/>
        <family val="2"/>
        <scheme val="minor"/>
      </rPr>
      <t>"apoyo a toma de decisiones automatizada"</t>
    </r>
    <r>
      <rPr>
        <sz val="11"/>
        <color theme="1"/>
        <rFont val="Aptos Narrow"/>
        <family val="2"/>
        <scheme val="minor"/>
      </rPr>
      <t>.</t>
    </r>
  </si>
  <si>
    <r>
      <t xml:space="preserve">El estudio se centra por completo en el ecosistema de herramientas ágiles, utilizando </t>
    </r>
    <r>
      <rPr>
        <b/>
        <sz val="11"/>
        <color theme="1"/>
        <rFont val="Aptos Narrow"/>
        <family val="2"/>
        <scheme val="minor"/>
      </rPr>
      <t>Jira</t>
    </r>
    <r>
      <rPr>
        <sz val="11"/>
        <color theme="1"/>
        <rFont val="Aptos Narrow"/>
        <family val="2"/>
        <scheme val="minor"/>
      </rPr>
      <t xml:space="preserve"> como fuente de datos y aplicando la solución a tareas del proceso </t>
    </r>
    <r>
      <rPr>
        <b/>
        <sz val="11"/>
        <color theme="1"/>
        <rFont val="Aptos Narrow"/>
        <family val="2"/>
        <scheme val="minor"/>
      </rPr>
      <t>Scrum</t>
    </r>
    <r>
      <rPr>
        <sz val="11"/>
        <color theme="1"/>
        <rFont val="Aptos Narrow"/>
        <family val="2"/>
        <scheme val="minor"/>
      </rPr>
      <t xml:space="preserve"> (backlog grooming, planificación de sprints).</t>
    </r>
  </si>
  <si>
    <r>
      <t xml:space="preserve">La reproducibilidad es baja. El resumen de la PI4 es explícito al señalar una limitación clave: </t>
    </r>
    <r>
      <rPr>
        <b/>
        <sz val="11"/>
        <color theme="1"/>
        <rFont val="Aptos Narrow"/>
        <family val="2"/>
        <scheme val="minor"/>
      </rPr>
      <t>"Falta de generalización (solo datos internos)"</t>
    </r>
    <r>
      <rPr>
        <sz val="11"/>
        <color theme="1"/>
        <rFont val="Aptos Narrow"/>
        <family val="2"/>
        <scheme val="minor"/>
      </rPr>
      <t>. Al utilizar un conjunto de datos privado, el estudio no puede ser replicado directamente por otros investigadores.</t>
    </r>
  </si>
  <si>
    <t>A31</t>
  </si>
  <si>
    <t>La metodología es sistemática, al basarse en una revisión teórica y entrevistas, un enfoque reconocido para la construcción de frameworks conceptuales en investigación cualitativa.</t>
  </si>
  <si>
    <t>El estudio es un "marco conceptual". Aunque se basa en entrevistas (contexto real), no valida una solución de IA en un proyecto. La PI4 señala como limitación el "acceso a datos históricos para entrenamiento", confirmando la falta de validación.</t>
  </si>
  <si>
    <t>Se reportan beneficios potenciales ("Mejora en toma de decisiones", "análisis de riesgos"), pero al ser un estudio conceptual, no se proporciona evidencia empírica (cuantitativa o cualitativa) que demuestre este impacto.</t>
  </si>
  <si>
    <t>El framework se centra en la aplicación de IA en la gestión de proyectos, incluyendo "modelos híbridos como PRINCE2 Agile". La integración se discute a nivel de proceso y estrategia, aunque de forma conceptual.</t>
  </si>
  <si>
    <t>La propuesta principal es el propio marco conceptual. Se asume que está lo suficientemente detallado en el artículo como para que otros investigadores puedan entenderlo, discutirlo y aplicarlo teóricamente.</t>
  </si>
  <si>
    <t>A32</t>
  </si>
  <si>
    <t>El estudio sigue una metodología de revisión teórica y análisis de herramientas. Es un enfoque sistemático, pero carece del rigor de una validación empírica primaria.</t>
  </si>
  <si>
    <t>Al ser un estudio de revisión, no presenta una validación propia en un contexto industrial o de proyecto real. Analiza herramientas que sí se usan en esos contextos, pero el estudio en sí es teórico.</t>
  </si>
  <si>
    <t>Se reportan múltiples beneficios ("Mejora en la cobertura y precisión", "reducción del tiempo"), pero estos son los beneficios atribuidos a las herramientas que se revisan, no el resultado de un experimento propio. La evidencia es secundaria.</t>
  </si>
  <si>
    <t>El artículo discute la automatización del testing y menciona herramientas (Selenium, Jasmine, etc.) que son parte del ecosistema ágil. La integración se aborda a nivel conceptual y a través de las capacidades de las herramientas analizadas.</t>
  </si>
  <si>
    <t>La reproducibilidad del estudio es alta en el sentido de que otro investigador podría analizar el mismo conjunto de herramientas. El artículo menciona explícitamente las herramientas, lo que permite verificar las afirmaciones.</t>
  </si>
  <si>
    <t>A33</t>
  </si>
  <si>
    <t>La metodología es un estudio teórico, pero está sólidamente fundamentado en "evidencia empírica de casos industriales". Es un enfoque sistemático para derivar conclusiones a partir de la práctica real.</t>
  </si>
  <si>
    <t>El estudio se basa directamente en la experiencia de empresas como Ericsson y Volvo. El contexto es completamente industrial, lo que le da la máxima puntuación en este criterio.</t>
  </si>
  <si>
    <r>
      <t xml:space="preserve">Se reportan beneficios observados en los casos industriales, como la </t>
    </r>
    <r>
      <rPr>
        <b/>
        <sz val="11"/>
        <color theme="1"/>
        <rFont val="Aptos Narrow"/>
        <family val="2"/>
        <scheme val="minor"/>
      </rPr>
      <t>"Automatización del ciclo de vida de modelos"</t>
    </r>
    <r>
      <rPr>
        <sz val="11"/>
        <color theme="1"/>
        <rFont val="Aptos Narrow"/>
        <family val="2"/>
        <scheme val="minor"/>
      </rPr>
      <t xml:space="preserve"> y la </t>
    </r>
    <r>
      <rPr>
        <b/>
        <sz val="11"/>
        <color theme="1"/>
        <rFont val="Aptos Narrow"/>
        <family val="2"/>
        <scheme val="minor"/>
      </rPr>
      <t>"mejora en trazabilidad"</t>
    </r>
    <r>
      <rPr>
        <sz val="11"/>
        <color theme="1"/>
        <rFont val="Aptos Narrow"/>
        <family val="2"/>
        <scheme val="minor"/>
      </rPr>
      <t>. La evidencia es cualitativa pero basada en la práctica real.</t>
    </r>
  </si>
  <si>
    <r>
      <t xml:space="preserve">El tema central del artículo es la integración de flujos de trabajo de IA en el ecosistema </t>
    </r>
    <r>
      <rPr>
        <b/>
        <sz val="11"/>
        <color theme="1"/>
        <rFont val="Aptos Narrow"/>
        <family val="2"/>
        <scheme val="minor"/>
      </rPr>
      <t>DevOps</t>
    </r>
    <r>
      <rPr>
        <sz val="11"/>
        <color theme="1"/>
        <rFont val="Aptos Narrow"/>
        <family val="2"/>
        <scheme val="minor"/>
      </rPr>
      <t>, que es una extensión de las prácticas ágiles. La discusión sobre la integración es el núcleo del trabajo.</t>
    </r>
  </si>
  <si>
    <t>Al basarse en casos de estudio industriales privados, los datos específicos no son públicos, lo que limita la reproducibilidad directa del análisis. El marco conceptual derivado es claro, pero la validación no puede ser replicada.</t>
  </si>
  <si>
    <t>A34</t>
  </si>
  <si>
    <t>El tipo de estudio es "descriptivo con análisis conceptual". Aunque es un enfoque válido para un artículo de revisión, carece de la rigurosidad metodológica de una investigación empírica.</t>
  </si>
  <si>
    <t>Al ser un análisis conceptual, el estudio no se valida en un contexto de proyecto específico. Discute prácticas reales, pero no presenta una validación propia.</t>
  </si>
  <si>
    <t>Se discuten beneficios como la "reducción de esfuerzo manual" y la "aceleración del ciclo de testing", pero como parte del análisis conceptual, no como resultado de una evidencia empírica generada por el propio estudio.</t>
  </si>
  <si>
    <t>El artículo se centra en la integración de la automatización y la IA en los procesos de SQA (Software Quality Assurance) ágil, mencionando prácticas como TDD y BDD. La discusión sobre la integración es conceptual pero central.</t>
  </si>
  <si>
    <t>La reproducibilidad se entiende como la claridad de los conceptos. Al mencionar herramientas y prácticas conocidas (Selenium, TDD, BDD), el estudio presenta ideas que pueden ser comprendidas y aplicadas por otros.</t>
  </si>
  <si>
    <t>A35</t>
  </si>
  <si>
    <t>El estudio es "exploratorio con propuestas arquitectónicas". La metodología es conceptual y carece del rigor de un enfoque de investigación empírico o de validación.</t>
  </si>
  <si>
    <r>
      <t xml:space="preserve">El resumen de la PI4 es explícito: </t>
    </r>
    <r>
      <rPr>
        <b/>
        <sz val="11"/>
        <color theme="1"/>
        <rFont val="Aptos Narrow"/>
        <family val="2"/>
        <scheme val="minor"/>
      </rPr>
      <t>"Falta de evaluación empírica formal; enfoque conceptual sin validación estadística"</t>
    </r>
    <r>
      <rPr>
        <sz val="11"/>
        <color theme="1"/>
        <rFont val="Aptos Narrow"/>
        <family val="2"/>
        <scheme val="minor"/>
      </rPr>
      <t>. La propuesta no se valida en ningún contexto real.</t>
    </r>
  </si>
  <si>
    <r>
      <t xml:space="preserve">Aunque se enumeran beneficios como el "incremento de productividad" y la "reducción de errores", el propio resumen confirma la </t>
    </r>
    <r>
      <rPr>
        <b/>
        <sz val="11"/>
        <color theme="1"/>
        <rFont val="Aptos Narrow"/>
        <family val="2"/>
        <scheme val="minor"/>
      </rPr>
      <t>falta de validación</t>
    </r>
    <r>
      <rPr>
        <sz val="11"/>
        <color theme="1"/>
        <rFont val="Aptos Narrow"/>
        <family val="2"/>
        <scheme val="minor"/>
      </rPr>
      <t>. Por lo tanto, son beneficios afirmados, no respaldados por evidencia.</t>
    </r>
  </si>
  <si>
    <t>La propuesta se centra en una arquitectura para la aplicación de IA en "planificación ágil, análisis de requisitos, pruebas, etc.". La integración es un tema central, aunque se discute a nivel puramente conceptual.</t>
  </si>
  <si>
    <t>Al presentar "propuestas arquitectónicas", se asume que el estudio describe la arquitectura con suficiente detalle como para ser comprendida y potencialmente reimplementada a nivel conceptual.</t>
  </si>
  <si>
    <t>A36</t>
  </si>
  <si>
    <t>El estudio presenta una "propuesta de modelo de ciclo de vida" con una base arquitectónica. Es una metodología de investigación constructiva y sistemática.</t>
  </si>
  <si>
    <t>La propuesta es un modelo conceptual. Aunque está diseñado para contextos reales, el resumen no indica que se haya aplicado o validado en un proyecto industrial o con datos reales. La PI4 menciona sus dependencias, lo que sugiere que es pre-implementación.</t>
  </si>
  <si>
    <r>
      <t xml:space="preserve">Se enumeran beneficios esperados del modelo, como la </t>
    </r>
    <r>
      <rPr>
        <b/>
        <sz val="11"/>
        <color theme="1"/>
        <rFont val="Aptos Narrow"/>
        <family val="2"/>
        <scheme val="minor"/>
      </rPr>
      <t>"Reducción de riesgos y errores"</t>
    </r>
    <r>
      <rPr>
        <sz val="11"/>
        <color theme="1"/>
        <rFont val="Aptos Narrow"/>
        <family val="2"/>
        <scheme val="minor"/>
      </rPr>
      <t xml:space="preserve"> y la </t>
    </r>
    <r>
      <rPr>
        <b/>
        <sz val="11"/>
        <color theme="1"/>
        <rFont val="Aptos Narrow"/>
        <family val="2"/>
        <scheme val="minor"/>
      </rPr>
      <t>"mejora en la colaboración"</t>
    </r>
    <r>
      <rPr>
        <sz val="11"/>
        <color theme="1"/>
        <rFont val="Aptos Narrow"/>
        <family val="2"/>
        <scheme val="minor"/>
      </rPr>
      <t>. Sin embargo, al no haber validación empírica, no se proporciona evidencia que demuestre este impacto.</t>
    </r>
  </si>
  <si>
    <r>
      <t xml:space="preserve">La integración es el tema central y la mayor fortaleza de esta propuesta. El modelo está diseñado explícitamente para unificar el ciclo de vida del software ágil con el de Machine Learning a través de prácticas de </t>
    </r>
    <r>
      <rPr>
        <b/>
        <sz val="11"/>
        <color theme="1"/>
        <rFont val="Aptos Narrow"/>
        <family val="2"/>
        <scheme val="minor"/>
      </rPr>
      <t>MLOps</t>
    </r>
    <r>
      <rPr>
        <sz val="11"/>
        <color theme="1"/>
        <rFont val="Aptos Narrow"/>
        <family val="2"/>
        <scheme val="minor"/>
      </rPr>
      <t xml:space="preserve"> e integración continua.</t>
    </r>
  </si>
  <si>
    <t>El estudio presenta un modelo de ciclo de vida con una "arquitectura clara". Este nivel de detalle conceptual y estructural hace que la propuesta sea altamente comprensible y reproducible por otros equipos que deseen adoptarla.</t>
  </si>
  <si>
    <t>A37</t>
  </si>
  <si>
    <t>El estudio presenta un "marco propuesto", lo que constituye una metodología de investigación conceptual. Es sistemático en su concepción, pero no en su validación.</t>
  </si>
  <si>
    <t>Al ser un marco propuesto, no se presenta ninguna validación en un contexto industrial o con datos de proyectos reales. Las limitaciones mencionadas en PI4 (necesidad de datos de calidad) confirman su naturaleza teórica.</t>
  </si>
  <si>
    <r>
      <t xml:space="preserve">Se enumeran beneficios potenciales muy relevantes, como la </t>
    </r>
    <r>
      <rPr>
        <b/>
        <sz val="11"/>
        <color theme="1"/>
        <rFont val="Aptos Narrow"/>
        <family val="2"/>
        <scheme val="minor"/>
      </rPr>
      <t>"mayor capacidad de predicción de riesgos"</t>
    </r>
    <r>
      <rPr>
        <sz val="11"/>
        <color theme="1"/>
        <rFont val="Aptos Narrow"/>
        <family val="2"/>
        <scheme val="minor"/>
      </rPr>
      <t>. Sin embargo, al no haber validación, no se proporciona evidencia que demuestre este impacto. Son beneficios teóricos.</t>
    </r>
  </si>
  <si>
    <t>El framework está diseñado para integrarse en el flujo de trabajo ágil ("planificación, ejecución y revisión de sprint"). La discusión sobre la integración es conceptual pero es una parte central de la propuesta.</t>
  </si>
  <si>
    <t>La propuesta menciona las técnicas que utilizaría (Lógica difusa, NLP, etc.) y se presenta como un framework. Se asume que la descripción es lo suficientemente detallada para que la idea pueda ser reimplementada conceptualmente.</t>
  </si>
  <si>
    <t>A38</t>
  </si>
  <si>
    <t>El tipo de estudio es "cuantitativo con modelos predictivos", una metodología de investigación muy clara, sistemática y basada en datos.</t>
  </si>
  <si>
    <r>
      <t xml:space="preserve">La validación se realiza con </t>
    </r>
    <r>
      <rPr>
        <b/>
        <sz val="11"/>
        <color theme="1"/>
        <rFont val="Aptos Narrow"/>
        <family val="2"/>
        <scheme val="minor"/>
      </rPr>
      <t>"datos reales"</t>
    </r>
    <r>
      <rPr>
        <sz val="11"/>
        <color theme="1"/>
        <rFont val="Aptos Narrow"/>
        <family val="2"/>
        <scheme val="minor"/>
      </rPr>
      <t xml:space="preserve"> (207 muestras). Esto lo sitúa en un contexto realista, probablemente basado en encuestas a profesionales, aunque no es un estudio de caso industrial profundo.</t>
    </r>
  </si>
  <si>
    <r>
      <t xml:space="preserve">La evidencia de impacto es clara: el modelo proporciona una </t>
    </r>
    <r>
      <rPr>
        <b/>
        <sz val="11"/>
        <color theme="1"/>
        <rFont val="Aptos Narrow"/>
        <family val="2"/>
        <scheme val="minor"/>
      </rPr>
      <t>"predicción objetiva de adopción"</t>
    </r>
    <r>
      <rPr>
        <sz val="11"/>
        <color theme="1"/>
        <rFont val="Aptos Narrow"/>
        <family val="2"/>
        <scheme val="minor"/>
      </rPr>
      <t xml:space="preserve"> que </t>
    </r>
    <r>
      <rPr>
        <b/>
        <sz val="11"/>
        <color theme="1"/>
        <rFont val="Aptos Narrow"/>
        <family val="2"/>
        <scheme val="minor"/>
      </rPr>
      <t>"apoya decisiones informadas"</t>
    </r>
    <r>
      <rPr>
        <sz val="11"/>
        <color theme="1"/>
        <rFont val="Aptos Narrow"/>
        <family val="2"/>
        <scheme val="minor"/>
      </rPr>
      <t>. Es un impacto directo en el proceso de toma de decisiones estratégicas de una organización.</t>
    </r>
  </si>
  <si>
    <t>El resumen no indica que se discuta la integración de este modelo predictivo en alguna herramienta o flujo de trabajo organizacional. Se presenta como un modelo de análisis aislado.</t>
  </si>
  <si>
    <t>El estudio detalla los modelos de ML utilizados (Random Forest, J48, etc.). Aunque la PI4 menciona limitaciones en la validación ("sin validación cruzada"), la descripción del método parece lo suficientemente detallada para una reimplementación conceptual.</t>
  </si>
  <si>
    <t>A39</t>
  </si>
  <si>
    <t>El tipo de estudio es una "Revisión Sistemática de Literatura (SLR)", que por definición es una de las metodologías de investigación más rigurosas y sistemáticas.</t>
  </si>
  <si>
    <t>No aplica. Como estudio secundario, su propósito es analizar y sintetizar la literatura, no proponer y validar una solución propia en un contexto real.</t>
  </si>
  <si>
    <t>No aplica. El estudio no genera evidencia primaria del impacto de una solución. Su contribución es agregar y clasificar los beneficios reportados por otros estudios.</t>
  </si>
  <si>
    <t>No aplica. El resultado es un documento de revisión, no una herramienta de software que necesite ser integrada en un ecosistema de desarrollo.</t>
  </si>
  <si>
    <t>La reproducibilidad es un pilar de cualquier SLR. Se asume que el estudio detalla su protocolo de búsqueda, cadena de consulta y criterios de selección, permitiendo que la investigación sea replicada.</t>
  </si>
  <si>
    <r>
      <t xml:space="preserve">Como en los casos anteriores de estudios de revisión (A09, A17, A25), el bajo puntaje total </t>
    </r>
    <r>
      <rPr>
        <b/>
        <sz val="11"/>
        <color theme="1"/>
        <rFont val="Aptos Narrow"/>
        <family val="2"/>
        <scheme val="minor"/>
      </rPr>
      <t>no indica una baja calidad del estudio</t>
    </r>
    <r>
      <rPr>
        <sz val="11"/>
        <color theme="1"/>
        <rFont val="Aptos Narrow"/>
        <family val="2"/>
        <scheme val="minor"/>
      </rPr>
      <t>. Simplemente refleja que nuestra rúbrica está diseñada para evaluar estudios primarios, mientras que la calidad de este trabajo radica en el rigor de su método de revisión, que en este caso es muy alto.</t>
    </r>
  </si>
  <si>
    <t>A40</t>
  </si>
  <si>
    <t>La metodología es un "estudio de caso aplicado y exploratorio". Es un enfoque sistemático y práctico para investigar la aplicación de una tecnología en un contexto específico.</t>
  </si>
  <si>
    <r>
      <t xml:space="preserve">El estudio se desarrolla en </t>
    </r>
    <r>
      <rPr>
        <b/>
        <sz val="11"/>
        <color theme="1"/>
        <rFont val="Aptos Narrow"/>
        <family val="2"/>
        <scheme val="minor"/>
      </rPr>
      <t>"proyectos ágiles reales"</t>
    </r>
    <r>
      <rPr>
        <sz val="11"/>
        <color theme="1"/>
        <rFont val="Aptos Narrow"/>
        <family val="2"/>
        <scheme val="minor"/>
      </rPr>
      <t xml:space="preserve"> y se aplica a "pruebas en entorno real". Esto demuestra una validación en un contexto práctico y relevante, muy cercano a un entorno industrial.</t>
    </r>
  </si>
  <si>
    <r>
      <t xml:space="preserve">Se reportan evidencias cualitativas claras de impacto positivo: </t>
    </r>
    <r>
      <rPr>
        <b/>
        <sz val="11"/>
        <color theme="1"/>
        <rFont val="Aptos Narrow"/>
        <family val="2"/>
        <scheme val="minor"/>
      </rPr>
      <t>"Automatización del reconocimiento"</t>
    </r>
    <r>
      <rPr>
        <sz val="11"/>
        <color theme="1"/>
        <rFont val="Aptos Narrow"/>
        <family val="2"/>
        <scheme val="minor"/>
      </rPr>
      <t xml:space="preserve">, </t>
    </r>
    <r>
      <rPr>
        <b/>
        <sz val="11"/>
        <color theme="1"/>
        <rFont val="Aptos Narrow"/>
        <family val="2"/>
        <scheme val="minor"/>
      </rPr>
      <t>"reducción de errores"</t>
    </r>
    <r>
      <rPr>
        <sz val="11"/>
        <color theme="1"/>
        <rFont val="Aptos Narrow"/>
        <family val="2"/>
        <scheme val="minor"/>
      </rPr>
      <t xml:space="preserve"> y </t>
    </r>
    <r>
      <rPr>
        <b/>
        <sz val="11"/>
        <color theme="1"/>
        <rFont val="Aptos Narrow"/>
        <family val="2"/>
        <scheme val="minor"/>
      </rPr>
      <t>"mejora en eficiencia operativa"</t>
    </r>
    <r>
      <rPr>
        <sz val="11"/>
        <color theme="1"/>
        <rFont val="Aptos Narrow"/>
        <family val="2"/>
        <scheme val="minor"/>
      </rPr>
      <t>.</t>
    </r>
  </si>
  <si>
    <t>La discusión sobre la integración se centra en la implementación de la IA en "dispositivos integrados (Edge AI)" dentro de prácticas ágiles. Se aborda la integración a nivel técnico, aunque no tanto con herramientas de gestión ágil.</t>
  </si>
  <si>
    <t>Al ser un estudio de caso, es probable que los datos y la implementación específica sean privados. La PI4 señala "Falta de comparación con procesos tradicionales", lo que sugiere que la descripción puede no ser lo suficientemente detallada para una replicación completa.</t>
  </si>
  <si>
    <t>A41</t>
  </si>
  <si>
    <t>La metodología es un "Estudio de caso + PoC", un enfoque sistemático y práctico que combina la construcción de una solución con su aplicación a un problema concreto.</t>
  </si>
  <si>
    <t>La propuesta se aplica a un problema del mundo real (modernización de software legado de C a Java). Aunque es una prueba de concepto, se valida en un contexto de proyecto realista, más allá de lo puramente académico.</t>
  </si>
  <si>
    <r>
      <t xml:space="preserve">Se proporciona evidencia cuantitativa explícita y robusta del impacto de la solución: una </t>
    </r>
    <r>
      <rPr>
        <b/>
        <sz val="11"/>
        <color theme="1"/>
        <rFont val="Aptos Narrow"/>
        <family val="2"/>
        <scheme val="minor"/>
      </rPr>
      <t>"Mejora de precisión (F1-score del 83%)"</t>
    </r>
    <r>
      <rPr>
        <sz val="11"/>
        <color theme="1"/>
        <rFont val="Aptos Narrow"/>
        <family val="2"/>
        <scheme val="minor"/>
      </rPr>
      <t>. Este es un excelente ejemplo de una métrica de rendimiento clara.</t>
    </r>
  </si>
  <si>
    <r>
      <t xml:space="preserve">El resumen indica que la solución </t>
    </r>
    <r>
      <rPr>
        <b/>
        <sz val="11"/>
        <color theme="1"/>
        <rFont val="Aptos Narrow"/>
        <family val="2"/>
        <scheme val="minor"/>
      </rPr>
      <t>"Puede ser integrado en prácticas DevOps dentro de flujos ágiles"</t>
    </r>
    <r>
      <rPr>
        <sz val="11"/>
        <color theme="1"/>
        <rFont val="Aptos Narrow"/>
        <family val="2"/>
        <scheme val="minor"/>
      </rPr>
      <t>. Esto muestra que la integración se discute a nivel conceptual, como una aplicación potencial del trabajo, aunque no sea el foco principal.</t>
    </r>
  </si>
  <si>
    <r>
      <t>La reproducibilidad es muy alta. El resumen es técnicamente muy específico, mencionando la tecnología utilizada (</t>
    </r>
    <r>
      <rPr>
        <b/>
        <sz val="11"/>
        <color theme="1"/>
        <rFont val="Aptos Narrow"/>
        <family val="2"/>
        <scheme val="minor"/>
      </rPr>
      <t>"Deeplearning4j (DL4J)"</t>
    </r>
    <r>
      <rPr>
        <sz val="11"/>
        <color theme="1"/>
        <rFont val="Aptos Narrow"/>
        <family val="2"/>
        <scheme val="minor"/>
      </rPr>
      <t>) y el enfoque (</t>
    </r>
    <r>
      <rPr>
        <b/>
        <sz val="11"/>
        <color theme="1"/>
        <rFont val="Aptos Narrow"/>
        <family val="2"/>
        <scheme val="minor"/>
      </rPr>
      <t>"Procesamiento de árboles sintácticos abstractos (AST)"</t>
    </r>
    <r>
      <rPr>
        <sz val="11"/>
        <color theme="1"/>
        <rFont val="Aptos Narrow"/>
        <family val="2"/>
        <scheme val="minor"/>
      </rPr>
      <t>), lo que facilita enormemente su replicación.</t>
    </r>
  </si>
  <si>
    <t>A43</t>
  </si>
  <si>
    <t>El estudio se define como un "estudio empírico de caso" y un reporte de "experiencia industrial". Es una metodología de investigación aplicada, sistemática y de alto valor.</t>
  </si>
  <si>
    <t>El contexto es explícitamente industrial ("Industrial Experience"), aplicado en la empresa IQVIA con datos de 4727 historias de usuario reales. Es el máximo nivel de validación en un entorno real.</t>
  </si>
  <si>
    <r>
      <t xml:space="preserve">Se proporciona evidencia comparativa directa de impacto: </t>
    </r>
    <r>
      <rPr>
        <b/>
        <sz val="11"/>
        <color theme="1"/>
        <rFont val="Aptos Narrow"/>
        <family val="2"/>
        <scheme val="minor"/>
      </rPr>
      <t>"Predicciones más precisas que enfoques tradicionales"</t>
    </r>
    <r>
      <rPr>
        <sz val="11"/>
        <color theme="1"/>
        <rFont val="Aptos Narrow"/>
        <family val="2"/>
        <scheme val="minor"/>
      </rPr>
      <t>. Además, el "análisis de errores y lecciones aprendidas" constituye una evidencia cualitativa muy rica.</t>
    </r>
  </si>
  <si>
    <r>
      <t xml:space="preserve">El estudio trata sobre la </t>
    </r>
    <r>
      <rPr>
        <b/>
        <sz val="11"/>
        <color theme="1"/>
        <rFont val="Aptos Narrow"/>
        <family val="2"/>
        <scheme val="minor"/>
      </rPr>
      <t>"integración práctica de ML en procesos ágiles reales"</t>
    </r>
    <r>
      <rPr>
        <sz val="11"/>
        <color theme="1"/>
        <rFont val="Aptos Narrow"/>
        <family val="2"/>
        <scheme val="minor"/>
      </rPr>
      <t xml:space="preserve"> para la estimación de puntos de historia. La discusión sobre la integración en el flujo de trabajo es el núcleo del artículo.</t>
    </r>
  </si>
  <si>
    <t>Al ser un estudio de caso industrial con datos privados, la reproducibilidad directa es muy baja. Otros investigadores no tienen acceso al conjunto de datos para replicar los hallazgos.</t>
  </si>
  <si>
    <t>A44</t>
  </si>
  <si>
    <t>El estudio presenta un "marco propuesto", lo que constituye una metodología de investigación conceptual. Es sistemático en su diseño, pero no en su validación.</t>
  </si>
  <si>
    <r>
      <t xml:space="preserve">El resumen es explícito en este punto. La PI4 indica claramente: </t>
    </r>
    <r>
      <rPr>
        <b/>
        <sz val="11"/>
        <color theme="1"/>
        <rFont val="Aptos Narrow"/>
        <family val="2"/>
        <scheme val="minor"/>
      </rPr>
      <t>"Modelo no probado aún con datos reales"</t>
    </r>
    <r>
      <rPr>
        <sz val="11"/>
        <color theme="1"/>
        <rFont val="Aptos Narrow"/>
        <family val="2"/>
        <scheme val="minor"/>
      </rPr>
      <t>. La propuesta es puramente teórica y no ha sido validada en ningún contexto práctico.</t>
    </r>
  </si>
  <si>
    <t>Se afirma que el beneficio es una "asignación más precisa y objetiva". Sin embargo, al no haber sido probado con datos reales, no se proporciona ninguna evidencia (cuantitativa o cualitativa) que demuestre este impacto.</t>
  </si>
  <si>
    <t>El framework está diseñado para la "asignación de tareas" en un entorno ágil distribuido. La integración en el flujo de trabajo de gestión de proyectos es una parte central de la propuesta, aunque se discute a nivel conceptual.</t>
  </si>
  <si>
    <t>El estudio describe las técnicas que componen el framework (Regresión Logística, K-means, etc.). La descripción del modelo parece ser lo suficientemente detallada como para que la idea pueda ser reimplementada conceptualmente.</t>
  </si>
  <si>
    <t>A45</t>
  </si>
  <si>
    <t>La metodología es un "estudio experimental aplicado", que incluye una comparación con otros modelos. Es un enfoque de investigación cuantitativo, riguroso y sistemático.</t>
  </si>
  <si>
    <r>
      <t xml:space="preserve">La validación se realiza en un </t>
    </r>
    <r>
      <rPr>
        <b/>
        <sz val="11"/>
        <color theme="1"/>
        <rFont val="Aptos Narrow"/>
        <family val="2"/>
        <scheme val="minor"/>
      </rPr>
      <t>"entorno Scrum real"</t>
    </r>
    <r>
      <rPr>
        <sz val="11"/>
        <color theme="1"/>
        <rFont val="Aptos Narrow"/>
        <family val="2"/>
        <scheme val="minor"/>
      </rPr>
      <t xml:space="preserve"> y en una plataforma en la nube. Esto demuestra un contexto de aplicación práctico y muy relevante, un paso más allá de un simple laboratorio.</t>
    </r>
  </si>
  <si>
    <r>
      <t xml:space="preserve">Se reporta evidencia clara de impacto en métricas de rendimiento: </t>
    </r>
    <r>
      <rPr>
        <b/>
        <sz val="11"/>
        <color theme="1"/>
        <rFont val="Aptos Narrow"/>
        <family val="2"/>
        <scheme val="minor"/>
      </rPr>
      <t>"Mayor eficiencia y precisión en automatización de pruebas"</t>
    </r>
    <r>
      <rPr>
        <sz val="11"/>
        <color theme="1"/>
        <rFont val="Aptos Narrow"/>
        <family val="2"/>
        <scheme val="minor"/>
      </rPr>
      <t>. Al ser un estudio experimental, se asume que esta evidencia es cuantitativa y comparativa.</t>
    </r>
  </si>
  <si>
    <r>
      <t xml:space="preserve">La propuesta se valida utilizando </t>
    </r>
    <r>
      <rPr>
        <b/>
        <sz val="11"/>
        <color theme="1"/>
        <rFont val="Aptos Narrow"/>
        <family val="2"/>
        <scheme val="minor"/>
      </rPr>
      <t>Selenium</t>
    </r>
    <r>
      <rPr>
        <sz val="11"/>
        <color theme="1"/>
        <rFont val="Aptos Narrow"/>
        <family val="2"/>
        <scheme val="minor"/>
      </rPr>
      <t xml:space="preserve"> en un entorno Scrum. Esto demuestra una integración directa y práctica con el ecosistema de herramientas de testing y flujos de trabajo ágiles.</t>
    </r>
  </si>
  <si>
    <t>El estudio detalla el modelo propuesto (TACC) y lo compara con técnicas estándar (Random Forest, SVM), lo que indica un alto nivel de detalle técnico. El enfoque experimental está bien descrito, facilitando su reproducibilidad.</t>
  </si>
  <si>
    <t>A46</t>
  </si>
  <si>
    <t>El estudio es un "Mapeo Sistemático", lo que por definición implica seguir una metodología de investigación explícita, rigurosa y sistemática para mapear un campo de estudio.</t>
  </si>
  <si>
    <t>No aplica. Al ser un estudio secundario, no propone ni valida una solución propia en un contexto real, sino que analiza la literatura existente.</t>
  </si>
  <si>
    <t>No aplica. El trabajo no genera evidencia primaria sobre el impacto de una solución. Su contribución es sintetizar los beneficios reportados por otros estudios primarios.</t>
  </si>
  <si>
    <t>No aplica. El resultado del estudio es un documento de revisión, no una herramienta que requiera ser integrada en un ecosistema de desarrollo.</t>
  </si>
  <si>
    <t>La reproducibilidad del método es un pilar fundamental de un mapeo sistemático. Se asume que el estudio detalla su protocolo de búsqueda y criterios, permitiendo que la investigación sea replicada.</t>
  </si>
  <si>
    <t>A47</t>
  </si>
  <si>
    <t>El tipo de estudio es un "Estudio de caso" y "reporte de experiencia", una metodología de investigación aplicada, sistemática y muy valiosa para la ingeniería de software.</t>
  </si>
  <si>
    <t>El estudio describe el despliegue de un sistema real para "predecir demandas contra empresas eléctricas". El contexto es completamente industrial y práctico, obteniendo la máxima puntuación.</t>
  </si>
  <si>
    <r>
      <t xml:space="preserve">Se reporta evidencia de impacto positivo y relevante: </t>
    </r>
    <r>
      <rPr>
        <b/>
        <sz val="11"/>
        <color theme="1"/>
        <rFont val="Aptos Narrow"/>
        <family val="2"/>
        <scheme val="minor"/>
      </rPr>
      <t>"Predicción precisa de demandas legales"</t>
    </r>
    <r>
      <rPr>
        <sz val="11"/>
        <color theme="1"/>
        <rFont val="Aptos Narrow"/>
        <family val="2"/>
        <scheme val="minor"/>
      </rPr>
      <t xml:space="preserve"> y </t>
    </r>
    <r>
      <rPr>
        <b/>
        <sz val="11"/>
        <color theme="1"/>
        <rFont val="Aptos Narrow"/>
        <family val="2"/>
        <scheme val="minor"/>
      </rPr>
      <t>"mejora de calidad y gestión del riesgo"</t>
    </r>
    <r>
      <rPr>
        <sz val="11"/>
        <color theme="1"/>
        <rFont val="Aptos Narrow"/>
        <family val="2"/>
        <scheme val="minor"/>
      </rPr>
      <t>. Es una evidencia cualitativa fuerte basada en una experiencia real.</t>
    </r>
  </si>
  <si>
    <t>El artículo se centra en las "lecciones aprendidas de una experiencia de testing ágil". La PI4 menciona explícitamente la "complejidad en integración de IA al flujo Scrum", lo que demuestra que la integración es un tema central de análisis.</t>
  </si>
  <si>
    <t>Al tratarse de un estudio de caso en un dominio tan específico y con datos presumiblemente privados (demandas legales), la reproducibilidad directa del estudio es muy baja, aunque el enfoque metodológico pueda ser transferible.</t>
  </si>
  <si>
    <t>A48</t>
  </si>
  <si>
    <t>La metodología es una "propuesta de modelo" basada en un "análisis de buenas prácticas" y "derivado de datos reales". Es un enfoque de investigación constructivo y sistemático.</t>
  </si>
  <si>
    <t>El estudio propone un modelo de referencia, pero no lo valida en un proyecto industrial o con datos reales. Es una propuesta conceptual, aunque esté informada por la práctica.</t>
  </si>
  <si>
    <t>El beneficio reportado es una "visión estructurada para integrar IA", que es una ventaja del propio modelo. No se presenta evidencia empírica de su impacto en métricas ágiles.</t>
  </si>
  <si>
    <t>La integración de prácticas de desarrollo de ML en un flujo ágil es el tema central del modelo de referencia propuesto. Se discute a nivel de proceso y buenas prácticas de manera detallada.</t>
  </si>
  <si>
    <t>Al ser un "modelo de referencia", la propuesta está diseñada para ser comprensible y aplicable por otros. Su naturaleza estructurada facilita la reproducibilidad conceptual.</t>
  </si>
  <si>
    <t>A49</t>
  </si>
  <si>
    <t>El estudio es un "Mapeo Sistemático", lo que por definición implica seguir una metodología de investigación explícita, rigurosa y sistemática.</t>
  </si>
  <si>
    <t>No aplica. Al ser un estudio secundario, su propósito es analizar y sintetizar la literatura existente, no proponer y validar una solución propia en un contexto real.</t>
  </si>
  <si>
    <t>No aplica. El trabajo no genera evidencia primaria sobre el impacto de una solución. Su contribución es resumir los beneficios reportados por los estudios que analiza.</t>
  </si>
  <si>
    <t>No aplica. El resultado del estudio es un documento de revisión, no una herramienta de software que requiera ser integrada en un ecosistema de desarrollo.</t>
  </si>
  <si>
    <t>La reproducibilidad del método es un pilar fundamental de un mapeo sistemático. Se asume que el estudio detalla su protocolo de búsqueda y criterios, lo que permite que otros investigadores puedan replicar el proceso.</t>
  </si>
  <si>
    <t>A50</t>
  </si>
  <si>
    <t>El tipo de estudio es un "Estudio de caso aplicado", lo cual es una metodología de investigación sistemática y reconocida para analizar fenómenos en su contexto.</t>
  </si>
  <si>
    <t>La propuesta se aplica a un proceso real ("LAPIS Agile Software Development Process") y a una actividad concreta (retrospectivas de sprint). Es una validación en un contexto de proyecto real y práctico.</t>
  </si>
  <si>
    <r>
      <t xml:space="preserve">Se reporta evidencia de impacto cualitativo en métricas de equipo: </t>
    </r>
    <r>
      <rPr>
        <b/>
        <sz val="11"/>
        <color theme="1"/>
        <rFont val="Aptos Narrow"/>
        <family val="2"/>
        <scheme val="minor"/>
      </rPr>
      <t>"mejora del clima laboral y productividad"</t>
    </r>
    <r>
      <rPr>
        <sz val="11"/>
        <color theme="1"/>
        <rFont val="Aptos Narrow"/>
        <family val="2"/>
        <scheme val="minor"/>
      </rPr>
      <t xml:space="preserve"> a través de la "medición emocional del equipo". Es una evidencia fuerte de impacto en el factor humano.</t>
    </r>
  </si>
  <si>
    <r>
      <t xml:space="preserve">La integración se enfoca en el </t>
    </r>
    <r>
      <rPr>
        <b/>
        <sz val="11"/>
        <color theme="1"/>
        <rFont val="Aptos Narrow"/>
        <family val="2"/>
        <scheme val="minor"/>
      </rPr>
      <t>proceso</t>
    </r>
    <r>
      <rPr>
        <sz val="11"/>
        <color theme="1"/>
        <rFont val="Aptos Narrow"/>
        <family val="2"/>
        <scheme val="minor"/>
      </rPr>
      <t xml:space="preserve"> de la retrospectiva ágil, no en una herramienta técnica del ecosistema de desarrollo. Se discute cómo la IA se acopla al flujo de trabajo de mejora continua del equipo.</t>
    </r>
  </si>
  <si>
    <t>La reproducibilidad es moderada. Aunque se menciona la técnica (NLP, análisis de sentimientos), la PI4 señala como desafío la "ambigüedad de lenguaje natural y análisis emocional subjetivo", lo que dificulta la replicación exacta de los resultados.</t>
  </si>
  <si>
    <t>A51</t>
  </si>
  <si>
    <t>El tipo de estudio es una combinación de "exploratorio", "conceptual" y "análisis aplicado". Es un enfoque descriptivo y amplio, pero carece de la rigurosidad de una metodología de investigación primaria o secundaria formal.</t>
  </si>
  <si>
    <t>El estudio realiza un "análisis aplicado en múltiples dominios empresariales", lo que indica que se basa en contextos reales. Sin embargo, no es una validación profunda, sino un análisis exploratorio.</t>
  </si>
  <si>
    <r>
      <t xml:space="preserve">Se reportan beneficios como la </t>
    </r>
    <r>
      <rPr>
        <b/>
        <sz val="11"/>
        <color theme="1"/>
        <rFont val="Aptos Narrow"/>
        <family val="2"/>
        <scheme val="minor"/>
      </rPr>
      <t>"mejora en comunicación"</t>
    </r>
    <r>
      <rPr>
        <sz val="11"/>
        <color theme="1"/>
        <rFont val="Aptos Narrow"/>
        <family val="2"/>
        <scheme val="minor"/>
      </rPr>
      <t xml:space="preserve"> y la </t>
    </r>
    <r>
      <rPr>
        <b/>
        <sz val="11"/>
        <color theme="1"/>
        <rFont val="Aptos Narrow"/>
        <family val="2"/>
        <scheme val="minor"/>
      </rPr>
      <t>"eficiencia en estimaciones"</t>
    </r>
    <r>
      <rPr>
        <sz val="11"/>
        <color theme="1"/>
        <rFont val="Aptos Narrow"/>
        <family val="2"/>
        <scheme val="minor"/>
      </rPr>
      <t>. Al ser un análisis aplicado, es probable que se base en evidencia cualitativa observada, aunque no sea el resultado de un experimento formal.</t>
    </r>
  </si>
  <si>
    <r>
      <t xml:space="preserve">La discusión sobre la integración es central, ya que el resumen menciona explícitamente la </t>
    </r>
    <r>
      <rPr>
        <b/>
        <sz val="11"/>
        <color theme="1"/>
        <rFont val="Aptos Narrow"/>
        <family val="2"/>
        <scheme val="minor"/>
      </rPr>
      <t>"integración con Scrum"</t>
    </r>
    <r>
      <rPr>
        <sz val="11"/>
        <color theme="1"/>
        <rFont val="Aptos Narrow"/>
        <family val="2"/>
        <scheme val="minor"/>
      </rPr>
      <t xml:space="preserve"> y la aplicación de IA en múltiples fases (requerimientos, pruebas, estimación).</t>
    </r>
  </si>
  <si>
    <t>Al ser un estudio exploratorio y de revisión conceptual amplio, la propuesta no es un artefacto único y detallado, lo que dificulta su reproducibilidad. Presenta un panorama, no un método replicable.</t>
  </si>
  <si>
    <t>A52</t>
  </si>
  <si>
    <t>La metodología es un "estudio de caso industrial" en el marco de una "tesis doctoral". Esta combinación representa un altísimo nivel de rigor metodológico, uniendo la investigación académica formal con la aplicación práctica.</t>
  </si>
  <si>
    <r>
      <t xml:space="preserve">El estudio se desarrolla en un contexto industrial explícito y real: la </t>
    </r>
    <r>
      <rPr>
        <b/>
        <sz val="11"/>
        <color theme="1"/>
        <rFont val="Aptos Narrow"/>
        <family val="2"/>
        <scheme val="minor"/>
      </rPr>
      <t>"Renault Software Factory"</t>
    </r>
    <r>
      <rPr>
        <sz val="11"/>
        <color theme="1"/>
        <rFont val="Aptos Narrow"/>
        <family val="2"/>
        <scheme val="minor"/>
      </rPr>
      <t>. Es el máximo nivel de validación en un entorno de producción ágil.</t>
    </r>
  </si>
  <si>
    <r>
      <t xml:space="preserve">Se reportan evidencias claras de impacto en métricas críticas de CI/CD y QA: </t>
    </r>
    <r>
      <rPr>
        <b/>
        <sz val="11"/>
        <color theme="1"/>
        <rFont val="Aptos Narrow"/>
        <family val="2"/>
        <scheme val="minor"/>
      </rPr>
      <t>"Reducción del tiempo de ejecución de pruebas"</t>
    </r>
    <r>
      <rPr>
        <sz val="11"/>
        <color theme="1"/>
        <rFont val="Aptos Narrow"/>
        <family val="2"/>
        <scheme val="minor"/>
      </rPr>
      <t xml:space="preserve"> y </t>
    </r>
    <r>
      <rPr>
        <b/>
        <sz val="11"/>
        <color theme="1"/>
        <rFont val="Aptos Narrow"/>
        <family val="2"/>
        <scheme val="minor"/>
      </rPr>
      <t>"reducción de defectos"</t>
    </r>
    <r>
      <rPr>
        <sz val="11"/>
        <color theme="1"/>
        <rFont val="Aptos Narrow"/>
        <family val="2"/>
        <scheme val="minor"/>
      </rPr>
      <t>. Se asume que son datos cuantitativos por la naturaleza del estudio.</t>
    </r>
  </si>
  <si>
    <r>
      <t xml:space="preserve">El tema central es el soporte a la </t>
    </r>
    <r>
      <rPr>
        <b/>
        <sz val="11"/>
        <color theme="1"/>
        <rFont val="Aptos Narrow"/>
        <family val="2"/>
        <scheme val="minor"/>
      </rPr>
      <t>"Integración Continua (CI)"</t>
    </r>
    <r>
      <rPr>
        <sz val="11"/>
        <color theme="1"/>
        <rFont val="Aptos Narrow"/>
        <family val="2"/>
        <scheme val="minor"/>
      </rPr>
      <t>. La propuesta (TSAI) está diseñada específicamente para integrarse y optimizar el pipeline de CI, que es el corazón del ecosistema de DevOps ágil.</t>
    </r>
  </si>
  <si>
    <t>Al ser un caso de estudio industrial, es muy probable que los datos y la implementación específica de la herramienta TSAI sean propietarios de Renault. La reproducibilidad directa es limitada, aunque el enfoque se describe con rigor académico.</t>
  </si>
  <si>
    <t>A53</t>
  </si>
  <si>
    <t>El estudio es una "Revisión Sistemática", lo que por definición sigue una metodología de investigación explícita, rigurosa y sistemática para sintetizar un campo de conocimiento.</t>
  </si>
  <si>
    <t>No aplica. Al ser un estudio secundario, su objetivo es analizar la literatura existente, no proponer y validar una solución propia en un contexto real.</t>
  </si>
  <si>
    <t>No aplica. El trabajo no genera evidencia primaria sobre el impacto de una solución. Su contribución es resumir y comparar los beneficios y métricas reportados por otros estudios.</t>
  </si>
  <si>
    <t>La reproducibilidad del método es un pilar de una revisión sistemática. Se asume que el estudio detalla su protocolo de búsqueda y criterios, permitiendo que la investigación sea replicada.</t>
  </si>
  <si>
    <t>A54</t>
  </si>
  <si>
    <t>La metodología es una "propuesta de solución tecnológica" que incluye la "presentación de un modelo predictivo". Es un enfoque de investigación constructivo y sistemático.</t>
  </si>
  <si>
    <t>Aunque se aplica al marco industrial SAFe, la propuesta es conceptual y no se reporta una validación en un entorno de proyecto real. Las limitaciones mencionadas en PI4 (dependencia del input de los equipos) sugieren que es pre-implementación.</t>
  </si>
  <si>
    <r>
      <t xml:space="preserve">Se describen beneficios potenciales como la </t>
    </r>
    <r>
      <rPr>
        <b/>
        <sz val="11"/>
        <color theme="1"/>
        <rFont val="Aptos Narrow"/>
        <family val="2"/>
        <scheme val="minor"/>
      </rPr>
      <t>"visualización predictiva del avance del equipo"</t>
    </r>
    <r>
      <rPr>
        <sz val="11"/>
        <color theme="1"/>
        <rFont val="Aptos Narrow"/>
        <family val="2"/>
        <scheme val="minor"/>
      </rPr>
      <t>. Sin embargo, al no haber una validación empírica, no se proporciona evidencia que demuestre este impacto.</t>
    </r>
  </si>
  <si>
    <r>
      <t xml:space="preserve">La propuesta está diseñada específicamente para integrarse en el </t>
    </r>
    <r>
      <rPr>
        <b/>
        <sz val="11"/>
        <color theme="1"/>
        <rFont val="Aptos Narrow"/>
        <family val="2"/>
        <scheme val="minor"/>
      </rPr>
      <t>Scaled Agile Framework (SAFe)</t>
    </r>
    <r>
      <rPr>
        <sz val="11"/>
        <color theme="1"/>
        <rFont val="Aptos Narrow"/>
        <family val="2"/>
        <scheme val="minor"/>
      </rPr>
      <t xml:space="preserve"> y apoyar su gestión. La integración con el marco de trabajo es, por tanto, un elemento central de la propuesta, aunque sea a nivel conceptual.</t>
    </r>
  </si>
  <si>
    <t>Al presentarse como un "modelo predictivo", se asume que la descripción de su funcionamiento y arquitectura es lo suficientemente detallada como para que la idea pueda ser comprendida y reimplementada conceptualmente.</t>
  </si>
  <si>
    <t>A55</t>
  </si>
  <si>
    <t>La metodología es un "estudio experimental" con una "propuesta técnica aplicada", lo que constituye un enfoque de investigación riguroso y sistemático. La mención de métricas como "silhouette score" confirma su rigor.</t>
  </si>
  <si>
    <t>La propuesta se aplica a "historias de usuario", un artefacto de proyecto real. Aunque la PI4 indica que la validación puede tener una "generalización limitada sin dataset amplio", el contexto es realista y relevante.</t>
  </si>
  <si>
    <r>
      <t xml:space="preserve">Se reporta evidencia clara y medible de impacto: </t>
    </r>
    <r>
      <rPr>
        <b/>
        <sz val="11"/>
        <color theme="1"/>
        <rFont val="Aptos Narrow"/>
        <family val="2"/>
        <scheme val="minor"/>
      </rPr>
      <t>"División más precisa de historias, mejora en estimación y claridad de tareas"</t>
    </r>
    <r>
      <rPr>
        <sz val="11"/>
        <color theme="1"/>
        <rFont val="Aptos Narrow"/>
        <family val="2"/>
        <scheme val="minor"/>
      </rPr>
      <t>. La matriz de clasificación confirma que se presentan "mejoras cuantificables".</t>
    </r>
  </si>
  <si>
    <t>La solución está diseñada para apoyar el "refinamiento del backlog" y la "definición y partición de historias", actividades centrales en el flujo de trabajo de herramientas ágiles como Jira. La integración en este proceso es directa.</t>
  </si>
  <si>
    <t>El estudio detalla las técnicas específicas utilizadas (K-means, K-medoids). La matriz de clasificación señala que describe "procesos replicables", lo que indica un alto grado de reproducibilidad.</t>
  </si>
  <si>
    <t>A56</t>
  </si>
  <si>
    <t>El estudio es una "Revisión Sistemática", lo que por definición sigue una metodología de investigación explícita, rigurosa y sistemática para sintetizar un campo de estudio.</t>
  </si>
  <si>
    <t>No aplica. Al ser un estudio secundario, su objetivo es analizar la literatura existente sobre estimación, no proponer y validar una solución propia en un contexto real.</t>
  </si>
  <si>
    <t>No aplica. El trabajo no genera evidencia primaria sobre el impacto de una solución. Su contribución es resumir los beneficios y métricas reportados por otros estudios.</t>
  </si>
  <si>
    <t>La reproducibilidad del método es un pilar fundamental de una revisión sistemática. Se asume que el estudio detalla su protocolo de búsqueda y criterios, permitiendo que la investigación sea replicada.</t>
  </si>
  <si>
    <t>A57</t>
  </si>
  <si>
    <t>La metodología es una "propuesta de framework" que incluye una "implementación y evaluación preliminar". Es un enfoque de investigación constructivo y sistemático.</t>
  </si>
  <si>
    <t>Se reporta una "evaluación preliminar", pero el resumen no especifica el contexto (industrial, open-source, académico). Al ser preliminar, es probable que no sea un estudio industrial completo.</t>
  </si>
  <si>
    <r>
      <t xml:space="preserve">Se mencionan beneficios como la </t>
    </r>
    <r>
      <rPr>
        <b/>
        <sz val="11"/>
        <color theme="1"/>
        <rFont val="Aptos Narrow"/>
        <family val="2"/>
        <scheme val="minor"/>
      </rPr>
      <t>"Fiabilidad, trazabilidad y automatización confiable"</t>
    </r>
    <r>
      <rPr>
        <sz val="11"/>
        <color theme="1"/>
        <rFont val="Aptos Narrow"/>
        <family val="2"/>
        <scheme val="minor"/>
      </rPr>
      <t>. Al existir una evaluación preliminar, se asume que hay evidencia cualitativa o inicial que respalda estos beneficios.</t>
    </r>
  </si>
  <si>
    <t>El tema central es un "framework de extremo a extremo ágil y automatizado" que incluye "DevOps ágil". La integración en el ecosistema de desarrollo y operaciones es el núcleo de la propuesta.</t>
  </si>
  <si>
    <t>La propuesta es un framework que menciona conceptos específicos como "AutoML" y "explainable AI". Se asume que la descripción del framework es lo suficientemente detallada como para ser reproducible a nivel conceptual y metodológico.</t>
  </si>
  <si>
    <t>A58</t>
  </si>
  <si>
    <t>La metodología es un "estudio aplicado con validación experimental", lo cual es un enfoque de investigación riguroso y sistemático. El desarrollo de un artefacto (plugin) refuerza su solidez.</t>
  </si>
  <si>
    <r>
      <t xml:space="preserve">La validación se realiza en el contexto de </t>
    </r>
    <r>
      <rPr>
        <b/>
        <sz val="11"/>
        <color theme="1"/>
        <rFont val="Aptos Narrow"/>
        <family val="2"/>
        <scheme val="minor"/>
      </rPr>
      <t>Jira</t>
    </r>
    <r>
      <rPr>
        <sz val="11"/>
        <color theme="1"/>
        <rFont val="Aptos Narrow"/>
        <family val="2"/>
        <scheme val="minor"/>
      </rPr>
      <t>, la herramienta de gestión de proyectos ágiles por excelencia. Esto sitúa la validación en un contexto de proyecto real y altamente relevante.</t>
    </r>
  </si>
  <si>
    <r>
      <t xml:space="preserve">Se reportan evidencias claras de impacto en el proceso: </t>
    </r>
    <r>
      <rPr>
        <b/>
        <sz val="11"/>
        <color theme="1"/>
        <rFont val="Aptos Narrow"/>
        <family val="2"/>
        <scheme val="minor"/>
      </rPr>
      <t>"Mejor cobertura de habilidades del equipo"</t>
    </r>
    <r>
      <rPr>
        <sz val="11"/>
        <color theme="1"/>
        <rFont val="Aptos Narrow"/>
        <family val="2"/>
        <scheme val="minor"/>
      </rPr>
      <t xml:space="preserve"> y </t>
    </r>
    <r>
      <rPr>
        <b/>
        <sz val="11"/>
        <color theme="1"/>
        <rFont val="Aptos Narrow"/>
        <family val="2"/>
        <scheme val="minor"/>
      </rPr>
      <t>"distribución objetiva de tareas"</t>
    </r>
    <r>
      <rPr>
        <sz val="11"/>
        <color theme="1"/>
        <rFont val="Aptos Narrow"/>
        <family val="2"/>
        <scheme val="minor"/>
      </rPr>
      <t>. La "validación experimental" respalda estos beneficios.</t>
    </r>
  </si>
  <si>
    <r>
      <t xml:space="preserve">La integración es máxima. El resultado del estudio es un </t>
    </r>
    <r>
      <rPr>
        <b/>
        <sz val="11"/>
        <color theme="1"/>
        <rFont val="Aptos Narrow"/>
        <family val="2"/>
        <scheme val="minor"/>
      </rPr>
      <t>"plugin JIRA"</t>
    </r>
    <r>
      <rPr>
        <sz val="11"/>
        <color theme="1"/>
        <rFont val="Aptos Narrow"/>
        <family val="2"/>
        <scheme val="minor"/>
      </rPr>
      <t>, lo que significa que la solución está diseñada para integrarse de forma nativa en el ecosistema de herramientas ágiles más popular.</t>
    </r>
  </si>
  <si>
    <t>El estudio detalla las técnicas (LSTM, NLP) y el enfoque. La creación de un plugin y la validación experimental sugieren que la propuesta está descrita con un alto nivel de detalle, facilitando su reproducibilidad.</t>
  </si>
  <si>
    <t>A59</t>
  </si>
  <si>
    <t>La metodología es una "discusión tipo panel", que es una forma válida de investigación exploratoria o de opinión, pero carece del rigor sistemático de un estudio empírico o una revisión.</t>
  </si>
  <si>
    <t>El estudio no valida una solución, sino que discute ideas de futuro basadas en la experiencia de expertos. El contexto es "real" en el sentido de que proviene de la práctica, pero no hay una validación aplicada.</t>
  </si>
  <si>
    <r>
      <t xml:space="preserve">El resumen de la PI4 es claro: </t>
    </r>
    <r>
      <rPr>
        <b/>
        <sz val="11"/>
        <color theme="1"/>
        <rFont val="Aptos Narrow"/>
        <family val="2"/>
        <scheme val="minor"/>
      </rPr>
      <t>"Proyección sin validación práctica ni resultados empíricos"</t>
    </r>
    <r>
      <rPr>
        <sz val="11"/>
        <color theme="1"/>
        <rFont val="Aptos Narrow"/>
        <family val="2"/>
        <scheme val="minor"/>
      </rPr>
      <t>. El estudio ofrece una visión de futuro, no evidencia de impacto.</t>
    </r>
  </si>
  <si>
    <t>Se discuten conceptos futuros de integración como el "pairing humano-IA" y la "programación natural" en entornos ágiles, pero a un nivel puramente conceptual y prospectivo.</t>
  </si>
  <si>
    <t>Al ser el resultado de una discusión de un panel, la propuesta no es un artefacto técnico reproducible, sino un conjunto de ideas y visiones que no pueden ser replicadas metodológicamente.</t>
  </si>
  <si>
    <t>A60</t>
  </si>
  <si>
    <t>La metodología es un "estudio técnico" que incluye una "propuesta de modelo predictivo" y una "evaluación experimental". Es un enfoque de investigación riguroso y sistemático.</t>
  </si>
  <si>
    <t>La propuesta se aplica a un problema real y muy relevante: la asignación de tareas en "equipos distribuidos ágiles". Se asume que la validación se realiza con datos de proyectos realistas, aunque no se especifica el origen (industrial, open-source, etc.).</t>
  </si>
  <si>
    <r>
      <t xml:space="preserve">Se reporta evidencia clara de impacto en el rendimiento del equipo: </t>
    </r>
    <r>
      <rPr>
        <b/>
        <sz val="11"/>
        <color theme="1"/>
        <rFont val="Aptos Narrow"/>
        <family val="2"/>
        <scheme val="minor"/>
      </rPr>
      <t>"Asignación más precisa y contextualizada"</t>
    </r>
    <r>
      <rPr>
        <sz val="11"/>
        <color theme="1"/>
        <rFont val="Aptos Narrow"/>
        <family val="2"/>
        <scheme val="minor"/>
      </rPr>
      <t xml:space="preserve"> y </t>
    </r>
    <r>
      <rPr>
        <b/>
        <sz val="11"/>
        <color theme="1"/>
        <rFont val="Aptos Narrow"/>
        <family val="2"/>
        <scheme val="minor"/>
      </rPr>
      <t>"mejora en eficiencia del equipo"</t>
    </r>
    <r>
      <rPr>
        <sz val="11"/>
        <color theme="1"/>
        <rFont val="Aptos Narrow"/>
        <family val="2"/>
        <scheme val="minor"/>
      </rPr>
      <t>. La "evaluación experimental" respalda estos hallazgos.</t>
    </r>
  </si>
  <si>
    <t>La solución está diseñada para integrarse en el flujo de trabajo de gestión de tareas de un equipo ágil distribuido. Aunque no se menciona una herramienta específica, la integración en el proceso es el núcleo del estudio.</t>
  </si>
  <si>
    <t>El estudio detalla los modelos utilizados (SVM, Regresión Logística) e incluso propone un nuevo modelo (NSL). Este nivel de detalle técnico, junto con una evaluación experimental, facilita una alta reproducibilidad.</t>
  </si>
  <si>
    <t>A62</t>
  </si>
  <si>
    <t>El estudio es una "Revisión Sistemática", lo que por definición sigue una metodología de investigación explícita, rigurosa y sistemática.</t>
  </si>
  <si>
    <t>No aplica. Al ser un estudio secundario, su propósito es analizar la literatura existente, no proponer y validar una solución propia en un contexto real. La PI4 lo confirma: "falta de validaciones reales en industrias".</t>
  </si>
  <si>
    <t>No aplica. El trabajo no genera evidencia primaria sobre el impacto de una solución. Su contribución es resumir los beneficios reportados por los estudios que analiza (ej. "Mejora en exactitud").</t>
  </si>
  <si>
    <t>La reproducibilidad del método es un pilar fundamental de una revisión sistemática. Se asume que el estudio detalla su protocolo, permitiendo que la investigación sea replicada.</t>
  </si>
  <si>
    <t>A63</t>
  </si>
  <si>
    <t>La metodología es un "estudio de caso y experiencia profesional aplicada". Es un enfoque de investigación reflexivo y sistemático basado en la práctica.</t>
  </si>
  <si>
    <t>El estudio se basa directamente en la "experiencia profesional aplicada", lo que le otorga el máximo nivel de validación en un contexto industrial o de proyecto real.</t>
  </si>
  <si>
    <r>
      <t xml:space="preserve">Se reportan beneficios observados en el proceso ágil, como mejoras en la </t>
    </r>
    <r>
      <rPr>
        <b/>
        <sz val="11"/>
        <color theme="1"/>
        <rFont val="Aptos Narrow"/>
        <family val="2"/>
        <scheme val="minor"/>
      </rPr>
      <t>"organización de trabajo, claridad de entregas, foco en valor incremental"</t>
    </r>
    <r>
      <rPr>
        <sz val="11"/>
        <color theme="1"/>
        <rFont val="Aptos Narrow"/>
        <family val="2"/>
        <scheme val="minor"/>
      </rPr>
      <t>. Es una evidencia cualitativa fuerte basada en la experiencia.</t>
    </r>
  </si>
  <si>
    <t>El tema central es cómo adaptar el proceso ágil (estimación, planificación, etc.) a la naturaleza de los proyectos de IA. La integración de estos dos mundos es el núcleo del artículo.</t>
  </si>
  <si>
    <t>Al ser un reporte de experiencia, las "lecciones aprendidas" son transferibles, pero el estudio en sí no es un experimento reproducible. El resumen indica que "No detalla herramientas concretas", lo que limita la reproducibilidad técnica.</t>
  </si>
  <si>
    <t>A64</t>
  </si>
  <si>
    <t>El tipo de estudio es una "revisión narrativa / estudio reflexivo". Es un enfoque válido para explorar un tema, pero carece del protocolo sistemático de una revisión sistemática formal.</t>
  </si>
  <si>
    <t>Al ser un estudio de revisión, no presenta una validación propia. Discute conceptos y herramientas aplicados en contextos reales, pero no valida una propuesta específica.</t>
  </si>
  <si>
    <r>
      <t xml:space="preserve">Se reportan beneficios como la </t>
    </r>
    <r>
      <rPr>
        <b/>
        <sz val="11"/>
        <color theme="1"/>
        <rFont val="Aptos Narrow"/>
        <family val="2"/>
        <scheme val="minor"/>
      </rPr>
      <t>"mejora la entrega continua"</t>
    </r>
    <r>
      <rPr>
        <sz val="11"/>
        <color theme="1"/>
        <rFont val="Aptos Narrow"/>
        <family val="2"/>
        <scheme val="minor"/>
      </rPr>
      <t xml:space="preserve"> y la </t>
    </r>
    <r>
      <rPr>
        <b/>
        <sz val="11"/>
        <color theme="1"/>
        <rFont val="Aptos Narrow"/>
        <family val="2"/>
        <scheme val="minor"/>
      </rPr>
      <t>"mejora detección de vulnerabilidades"</t>
    </r>
    <r>
      <rPr>
        <sz val="11"/>
        <color theme="1"/>
        <rFont val="Aptos Narrow"/>
        <family val="2"/>
        <scheme val="minor"/>
      </rPr>
      <t>. Estos son beneficios analizados a partir de la literatura y la práctica, no de un experimento primario.</t>
    </r>
  </si>
  <si>
    <t>La discusión sobre la integración es el tema central. El artículo explora cómo la IA puede integrarse en todo el pipeline de DevOps, desde el análisis de código hasta el monitoreo de operaciones.</t>
  </si>
  <si>
    <t>El artículo presenta una síntesis de ideas, herramientas (como Code QL) y tendencias. Los conceptos son lo suficientemente claros como para ser comprendidos y explorados por otros, aunque no es un método experimental replicable.</t>
  </si>
  <si>
    <t>A65</t>
  </si>
  <si>
    <t>La metodología es un "estudio empírico" a través de una "encuesta exploratoria". Es un enfoque de investigación sistemático para sondear la práctica actual en la industria.</t>
  </si>
  <si>
    <r>
      <t xml:space="preserve">El estudio investiga el uso real de la IA en </t>
    </r>
    <r>
      <rPr>
        <b/>
        <sz val="11"/>
        <color theme="1"/>
        <rFont val="Aptos Narrow"/>
        <family val="2"/>
        <scheme val="minor"/>
      </rPr>
      <t>startups</t>
    </r>
    <r>
      <rPr>
        <sz val="11"/>
        <color theme="1"/>
        <rFont val="Aptos Narrow"/>
        <family val="2"/>
        <scheme val="minor"/>
      </rPr>
      <t>. El contexto es completamente industrial y práctico, obteniendo la máxima puntuación.</t>
    </r>
  </si>
  <si>
    <r>
      <t xml:space="preserve">Se reportan beneficios como </t>
    </r>
    <r>
      <rPr>
        <b/>
        <sz val="11"/>
        <color theme="1"/>
        <rFont val="Aptos Narrow"/>
        <family val="2"/>
        <scheme val="minor"/>
      </rPr>
      <t>"Más eficiencia, automatización, apoyo en mantenimiento y decisiones"</t>
    </r>
    <r>
      <rPr>
        <sz val="11"/>
        <color theme="1"/>
        <rFont val="Aptos Narrow"/>
        <family val="2"/>
        <scheme val="minor"/>
      </rPr>
      <t>. Al ser una encuesta, estos son beneficios percibidos o reportados por los profesionales, lo que constituye una evidencia cualitativa válida.</t>
    </r>
  </si>
  <si>
    <t>El estudio analiza la aplicación de IA en múltiples fases del SWEBOK y menciona herramientas concretas (WEKA, Scikit-learn, etc.) utilizadas por las startups. Esto demuestra una discusión sobre la integración real de herramientas en sus procesos.</t>
  </si>
  <si>
    <t>Al ser un estudio basado en una encuesta, la reproducibilidad radica en la claridad del instrumento (cuestionario) y el método de análisis. Se asume que estos están bien descritos, permitiendo replicar el estudio en otra población.</t>
  </si>
  <si>
    <t>A67</t>
  </si>
  <si>
    <t>El estudio es un "Mapeo Sistemático", lo que por definición sigue una metodología de investigación explícita, rigurosa y sistemática.</t>
  </si>
  <si>
    <t>No aplica. Al ser un estudio secundario, su propósito es analizar y sintetizar modelos de calidad existentes, no proponer y validar una solución propia en un contexto real.</t>
  </si>
  <si>
    <t>No aplica. El trabajo no genera evidencia primaria sobre el impacto de una solución. Su contribución es servir como referencia para la evaluación de otros sistemas.</t>
  </si>
  <si>
    <t>No aplica. El resultado es un documento de revisión, no una herramienta que requiera ser integrada en un ecosistema de desarrollo.</t>
  </si>
  <si>
    <t>La reproducibilidad del método es un pilar fundamental de un mapeo sistemático. Se asume que el estudio detalla su protocolo, permitiendo que la investigación sea replicada.</t>
  </si>
  <si>
    <t>A68</t>
  </si>
  <si>
    <t>El tipo de estudio es una "Revisión general". Es un enfoque descriptivo válido, pero carece de la estructura y el rigor metodológico de una revisión sistemática formal.</t>
  </si>
  <si>
    <t>Al ser una revisión, no presenta una validación propia. Discute conceptos aplicados en contextos de negocio, pero no valida una propuesta específica en un proyecto.</t>
  </si>
  <si>
    <r>
      <t xml:space="preserve">Se mencionan beneficios como la </t>
    </r>
    <r>
      <rPr>
        <b/>
        <sz val="11"/>
        <color theme="1"/>
        <rFont val="Aptos Narrow"/>
        <family val="2"/>
        <scheme val="minor"/>
      </rPr>
      <t>"eficiencia"</t>
    </r>
    <r>
      <rPr>
        <sz val="11"/>
        <color theme="1"/>
        <rFont val="Aptos Narrow"/>
        <family val="2"/>
        <scheme val="minor"/>
      </rPr>
      <t xml:space="preserve"> y </t>
    </r>
    <r>
      <rPr>
        <b/>
        <sz val="11"/>
        <color theme="1"/>
        <rFont val="Aptos Narrow"/>
        <family val="2"/>
        <scheme val="minor"/>
      </rPr>
      <t>"reducción de tiempo"</t>
    </r>
    <r>
      <rPr>
        <sz val="11"/>
        <color theme="1"/>
        <rFont val="Aptos Narrow"/>
        <family val="2"/>
        <scheme val="minor"/>
      </rPr>
      <t>. Sin embargo, la matriz de clasificación indica que "no se evalúa la eficacia con métricas específicas", por lo que son beneficios afirmados, no demostrados.</t>
    </r>
  </si>
  <si>
    <t>El estudio discute la aplicación de la IA en múltiples actividades ágiles (testing, planificación, etc.) y menciona explícitamente la "mejora iterativa con principios ágiles". La integración es un tema central, aunque a nivel conceptual.</t>
  </si>
  <si>
    <r>
      <t xml:space="preserve">La reproducibilidad es baja. La matriz de clasificación señala la </t>
    </r>
    <r>
      <rPr>
        <b/>
        <sz val="11"/>
        <color theme="1"/>
        <rFont val="Aptos Narrow"/>
        <family val="2"/>
        <scheme val="minor"/>
      </rPr>
      <t>"Falta de detalle técnico"</t>
    </r>
    <r>
      <rPr>
        <sz val="11"/>
        <color theme="1"/>
        <rFont val="Aptos Narrow"/>
        <family val="2"/>
        <scheme val="minor"/>
      </rPr>
      <t>, lo que implica que las ideas presentadas son de alto nivel y difíciles de replicar de manera sistemática.</t>
    </r>
  </si>
  <si>
    <t>A71</t>
  </si>
  <si>
    <t>El tipo de estudio es "técnico aplicado con simulación y predicción". Es una metodología de investigación cuantitativa, clara y sistemática.</t>
  </si>
  <si>
    <r>
      <t xml:space="preserve">El resumen de la PI4 es explícito: </t>
    </r>
    <r>
      <rPr>
        <b/>
        <sz val="11"/>
        <color theme="1"/>
        <rFont val="Aptos Narrow"/>
        <family val="2"/>
        <scheme val="minor"/>
      </rPr>
      <t>"No evalúa implementación en proyectos ágiles reales"</t>
    </r>
    <r>
      <rPr>
        <sz val="11"/>
        <color theme="1"/>
        <rFont val="Aptos Narrow"/>
        <family val="2"/>
        <scheme val="minor"/>
      </rPr>
      <t>. La validación se realiza a nivel de simulación, no en un contexto de proyecto industrial o real.</t>
    </r>
  </si>
  <si>
    <t>Se reporta un beneficio claro ("Mejora en la detección temprana de defectos"). Al ser un estudio con simulación, se asume que esta mejora se respalda con evidencia cuantitativa (ej. métricas de precisión), aunque no sea en un caso real.</t>
  </si>
  <si>
    <r>
      <t xml:space="preserve">El resumen de la PI4 y la matriz de clasificación son claros al indicar que el estudio </t>
    </r>
    <r>
      <rPr>
        <b/>
        <sz val="11"/>
        <color theme="1"/>
        <rFont val="Aptos Narrow"/>
        <family val="2"/>
        <scheme val="minor"/>
      </rPr>
      <t>"no se vincula explícitamente a Scrum u otro marco ágil formal"</t>
    </r>
    <r>
      <rPr>
        <sz val="11"/>
        <color theme="1"/>
        <rFont val="Aptos Narrow"/>
        <family val="2"/>
        <scheme val="minor"/>
      </rPr>
      <t>. No se discute la integración en el ecosistema.</t>
    </r>
  </si>
  <si>
    <t>Al ser un estudio técnico que detalla los modelos de predicción utilizados (redes neuronales, lógica difusa), se asume un alto nivel de detalle que permite la reproducibilidad del método experimental.</t>
  </si>
  <si>
    <t>A72</t>
  </si>
  <si>
    <t>La metodología es un "estudio cualitativo con análisis temático" y un "análisis de brechas (gap analysis)". Es un enfoque de investigación riguroso y sistemático.</t>
  </si>
  <si>
    <t>El estudio se basa en "prácticas reales de empresas", por lo que el contexto es completamente industrial y práctico, obteniendo la máxima puntuación.</t>
  </si>
  <si>
    <t>Al ser un "gap analysis", el estudio no propone una solución ni mide su impacto. Su objetivo es identificar y analizar prácticas existentes y carencias en el campo de la ética de la IA.</t>
  </si>
  <si>
    <t>El resumen indica que el estudio "identifica elementos utilizados en el desarrollo... que son compatibles con prácticas ágiles". La integración de prácticas éticas en el ciclo de vida del desarrollo es un tema central del análisis.</t>
  </si>
  <si>
    <t>La reproducibilidad es limitada. Aunque el método de análisis temático es estándar, es probable que los datos primarios (entrevistas, encuestas con empresas) sean confidenciales, lo que impide una replicación directa del estudio.</t>
  </si>
  <si>
    <t>A77</t>
  </si>
  <si>
    <t>El tipo de estudio es "Experimental", lo que implica una metodología de investigación rigurosa, sistemática y con una clara evaluación cuantitativa.</t>
  </si>
  <si>
    <r>
      <t xml:space="preserve">La validación se realiza utilizando datos de un contexto real y muy relevante: </t>
    </r>
    <r>
      <rPr>
        <b/>
        <sz val="11"/>
        <color theme="1"/>
        <rFont val="Aptos Narrow"/>
        <family val="2"/>
        <scheme val="minor"/>
      </rPr>
      <t>"datos comunitarios desde foros como Stack Overflow"</t>
    </r>
    <r>
      <rPr>
        <sz val="11"/>
        <color theme="1"/>
        <rFont val="Aptos Narrow"/>
        <family val="2"/>
        <scheme val="minor"/>
      </rPr>
      <t>. Es un excelente ejemplo de uso de datos de proyectos open-source o comunitarios.</t>
    </r>
  </si>
  <si>
    <r>
      <t xml:space="preserve">El estudio reporta una evidencia de impacto clara: </t>
    </r>
    <r>
      <rPr>
        <b/>
        <sz val="11"/>
        <color theme="1"/>
        <rFont val="Aptos Narrow"/>
        <family val="2"/>
        <scheme val="minor"/>
      </rPr>
      <t>"Mejora la conformación de equipos multidisciplinarios con alto desempeño técnico"</t>
    </r>
    <r>
      <rPr>
        <sz val="11"/>
        <color theme="1"/>
        <rFont val="Aptos Narrow"/>
        <family val="2"/>
        <scheme val="minor"/>
      </rPr>
      <t>. Al ser un estudio experimental, se asume que esta mejora se demuestra a través de la evaluación del método.</t>
    </r>
  </si>
  <si>
    <r>
      <t xml:space="preserve">La propuesta se integra en el </t>
    </r>
    <r>
      <rPr>
        <b/>
        <sz val="11"/>
        <color theme="1"/>
        <rFont val="Aptos Narrow"/>
        <family val="2"/>
        <scheme val="minor"/>
      </rPr>
      <t>proceso</t>
    </r>
    <r>
      <rPr>
        <sz val="11"/>
        <color theme="1"/>
        <rFont val="Aptos Narrow"/>
        <family val="2"/>
        <scheme val="minor"/>
      </rPr>
      <t xml:space="preserve"> de "formación de equipos ágiles", una actividad clave en la gestión de proyectos. La discusión sobre la integración en el flujo de trabajo es a nivel de proceso, no de herramienta.</t>
    </r>
  </si>
  <si>
    <t>La reproducibilidad es máxima. El estudio utiliza datos públicos de comunidades en línea (Stack Overflow) y describe un método experimental, lo que permite a otros investigadores replicar el trabajo directamente.</t>
  </si>
  <si>
    <t>A78</t>
  </si>
  <si>
    <t>No aplica. Al ser un estudio secundario, su propósito es analizar la literatura existente. La PI4 confirma que "no incluye validación empírica directa".</t>
  </si>
  <si>
    <t>No aplica. El trabajo no genera evidencia primaria sobre el impacto de una solución. Su contribución es sintetizar los beneficios y prácticas reportados por otros estudios.</t>
  </si>
  <si>
    <t>No aplica. El resultado del estudio es un documento de revisión. Además, el resumen de la PI5 señala explícitamente "sin integración explícita con IA".</t>
  </si>
  <si>
    <t>A79</t>
  </si>
  <si>
    <t>La metodología es un "estudio empírico" a través de una "encuesta exploratoria". Es un enfoque sistemático para investigar la práctica industrial.</t>
  </si>
  <si>
    <r>
      <t xml:space="preserve">El estudio se centra en el uso real de la IA en </t>
    </r>
    <r>
      <rPr>
        <b/>
        <sz val="11"/>
        <color theme="1"/>
        <rFont val="Aptos Narrow"/>
        <family val="2"/>
        <scheme val="minor"/>
      </rPr>
      <t>startups</t>
    </r>
    <r>
      <rPr>
        <sz val="11"/>
        <color theme="1"/>
        <rFont val="Aptos Narrow"/>
        <family val="2"/>
        <scheme val="minor"/>
      </rPr>
      <t>, lo que representa un contexto industrial y práctico de máximo nivel.</t>
    </r>
  </si>
  <si>
    <t>Se reportan beneficios como el "potencial de automatización" y la "mejora de productividad", basados en las respuestas de la encuesta a profesionales, lo que es una evidencia cualitativa válida.</t>
  </si>
  <si>
    <t>El estudio analiza la aplicación de IA en múltiples fases del SWEBOK y menciona herramientas concretas, lo que demuestra una discusión sobre la integración real de estas en los procesos de las startups.</t>
  </si>
  <si>
    <t>Al ser un estudio basado en una encuesta, la reproducibilidad radica en la claridad del instrumento (cuestionario) y el método de análisis, permitiendo replicar el estudio en otra población.</t>
  </si>
  <si>
    <t>A81</t>
  </si>
  <si>
    <t>El estudio es una "Replicación", uno de los tipos de investigación empírica más rigurosos, ya que busca validar o refutar trabajos previos de manera sistemática.</t>
  </si>
  <si>
    <t>La validación se realiza sobre "datasets reales ágiles". Es un contexto de proyecto realista, probablemente utilizando repositorios públicos de código abierto, lo cual es común en estudios de replicación.</t>
  </si>
  <si>
    <r>
      <t xml:space="preserve">El estudio proporciona una evidencia de impacto muy valiosa y matizada: demuestra que </t>
    </r>
    <r>
      <rPr>
        <b/>
        <sz val="11"/>
        <color theme="1"/>
        <rFont val="Aptos Narrow"/>
        <family val="2"/>
        <scheme val="minor"/>
      </rPr>
      <t>"la IA no siempre supera a los métodos tradicionales"</t>
    </r>
    <r>
      <rPr>
        <sz val="11"/>
        <color theme="1"/>
        <rFont val="Aptos Narrow"/>
        <family val="2"/>
        <scheme val="minor"/>
      </rPr>
      <t>. Este hallazgo, aunque contraintuitivo, es una evidencia empírica de alto impacto para la comunidad.</t>
    </r>
  </si>
  <si>
    <t>El foco del estudio es la comparación de la eficacia de los modelos de estimación (Deep-SE, SVM) en sí mismos, no su integración en herramientas o flujos de trabajo del ecosistema ágil.</t>
  </si>
  <si>
    <t>La reproducibilidad es máxima. El propósito de un estudio de replicación es precisamente ser reproducible y verificar la reproducibilidad de otros. Utiliza datasets y métodos que permiten esta comparación.</t>
  </si>
  <si>
    <t>A82</t>
  </si>
  <si>
    <t>El estudio es una "Revisión Sistemática", lo que por definición implica seguir una metodología de investigación explícita, rigurosa y sistemática.</t>
  </si>
  <si>
    <t>No aplica. Al ser un estudio secundario, su propósito es analizar la literatura, no proponer y validar una solución propia en un contexto real. La PI4 incluso señala la "escasez de estudios aplicados" en la literatura que revisa.</t>
  </si>
  <si>
    <t>No aplica. El trabajo no genera evidencia primaria sobre el impacto de una solución. Su contribución es resumir los beneficios reportados por otros estudios (ej. "mejor rendimiento, eficiencia").</t>
  </si>
  <si>
    <t>No aplica. El resultado del estudio es un documento de revisión, no una herramienta de software que requiera ser integrada en un ecosistema.</t>
  </si>
  <si>
    <t>La reproducibilidad del método es un pilar de una revisión sistemática. La matriz de clasificación confirma que "cumple criterios PICOC", lo que implica un protocolo detallado y replicable.</t>
  </si>
  <si>
    <t>A83</t>
  </si>
  <si>
    <t>El estudio es una "Revisión Sistemática" de 126 artículos. Por definición, sigue una metodología de investigación explícita, rigurosa y sistemática.</t>
  </si>
  <si>
    <t>No aplica. Al ser un estudio secundario, su propósito es analizar la literatura, no proponer y validar una solución propia en un contexto real.</t>
  </si>
  <si>
    <t>No aplica. El trabajo no genera evidencia primaria sobre el impacto de una solución. Su contribución es sintetizar los beneficios reportados por otros estudios (ej. "Aumenta cobertura de pruebas").</t>
  </si>
  <si>
    <t>No aplica. El resultado es un documento de revisión. La matriz de clasificación incluso señala que "no se menciona adopción en marcos ágiles explícitamente".</t>
  </si>
  <si>
    <t>La reproducibilidad del método es un pilar de una revisión sistemática. Se asume que el estudio detalla su protocolo, permitiendo que la investigación sea replicada.</t>
  </si>
  <si>
    <t>A84</t>
  </si>
  <si>
    <t>El tipo de estudio es una "Revisión narrativa / Survey". Es un enfoque metodológico válido para obtener una visión general de un campo, aunque es menos riguroso que una revisión sistemática formal.</t>
  </si>
  <si>
    <t>No aplica. El trabajo no genera evidencia primaria sobre el impacto de una solución. Su contribución es resumir los beneficios reportados por otros estudios.</t>
  </si>
  <si>
    <t>La reproducibilidad de una survey es moderada. Aunque no sigue un protocolo tan estricto como un SLR, se asume que describe su alcance y método de análisis lo suficiente como para ser comprendido.</t>
  </si>
  <si>
    <t>A85</t>
  </si>
  <si>
    <t>El tipo de estudio es un "meta-análisis", una de las formas más rigurosas y sistemáticas de investigación secundaria, que implica una síntesis estadística de los resultados de otros estudios.</t>
  </si>
  <si>
    <t>No aplica. Al ser un estudio secundario, su propósito es analizar y sintetizar la literatura, no proponer y validar una solución propia en un contexto real.</t>
  </si>
  <si>
    <t>No aplica. El trabajo no genera evidencia primaria sobre el impacto de una solución. Su contribución es agregar los beneficios reportados por otros estudios de manera cuantitativa.</t>
  </si>
  <si>
    <t>No aplica. El resultado del estudio es un documento de revisión y análisis, no una herramienta que requiera ser integrada en un ecosistema de desarrollo.</t>
  </si>
  <si>
    <t>La reproducibilidad del método es un pilar de cualquier meta-análisis. Se asume que el estudio detalla su protocolo de búsqueda, criterios y métodos estadísticos, permitiendo que la investigación sea replicada.</t>
  </si>
  <si>
    <t>A86</t>
  </si>
  <si>
    <t>La metodología es una "propuesta metodológica" validada con un "estudio de caso". Es un enfoque de investigación aplicado y sistemático.</t>
  </si>
  <si>
    <t>El estudio se valida mediante un caso de estudio, lo que lo sitúa en un contexto de proyecto real. Sin embargo, la matriz de clasificación señala como limitación que "no se valida en múltiples entornos", lo que acota su alcance.</t>
  </si>
  <si>
    <r>
      <t xml:space="preserve">Se reporta evidencia de impacto en el proceso de planificación: </t>
    </r>
    <r>
      <rPr>
        <b/>
        <sz val="11"/>
        <color theme="1"/>
        <rFont val="Aptos Narrow"/>
        <family val="2"/>
        <scheme val="minor"/>
      </rPr>
      <t>"Mejora la toma de decisiones en planificación y asignación"</t>
    </r>
    <r>
      <rPr>
        <sz val="11"/>
        <color theme="1"/>
        <rFont val="Aptos Narrow"/>
        <family val="2"/>
        <scheme val="minor"/>
      </rPr>
      <t xml:space="preserve"> y </t>
    </r>
    <r>
      <rPr>
        <b/>
        <sz val="11"/>
        <color theme="1"/>
        <rFont val="Aptos Narrow"/>
        <family val="2"/>
        <scheme val="minor"/>
      </rPr>
      <t>"mayor coherencia entre equipos y metodología"</t>
    </r>
    <r>
      <rPr>
        <sz val="11"/>
        <color theme="1"/>
        <rFont val="Aptos Narrow"/>
        <family val="2"/>
        <scheme val="minor"/>
      </rPr>
      <t>. Es una evidencia cualitativa fuerte basada en un caso de uso.</t>
    </r>
  </si>
  <si>
    <t>La propuesta se integra en el flujo de trabajo de la gestión de proyectos a nivel estratégico (asignación de equipos, selección de metodología), pero el resumen no indica que se discuta la integración con herramientas de software.</t>
  </si>
  <si>
    <t>La reproducibilidad es moderada. La técnica utilizada ("números neutrosóficos con valores de intervalo") es muy específica y compleja. Además, la PI4 señala que "depende de juicios expertos", lo que dificulta una replicación objetiva.</t>
  </si>
  <si>
    <t>A87</t>
  </si>
  <si>
    <t>La metodología es un "modelado de ecuaciones estructurales" con una muestra masiva de 473 empresas. Es un enfoque de investigación cuantitativo, estadístico y de muy alto rigor.</t>
  </si>
  <si>
    <r>
      <t xml:space="preserve">El estudio se basa en datos de </t>
    </r>
    <r>
      <rPr>
        <b/>
        <sz val="11"/>
        <color theme="1"/>
        <rFont val="Aptos Narrow"/>
        <family val="2"/>
        <scheme val="minor"/>
      </rPr>
      <t>473 empresas</t>
    </r>
    <r>
      <rPr>
        <sz val="11"/>
        <color theme="1"/>
        <rFont val="Aptos Narrow"/>
        <family val="2"/>
        <scheme val="minor"/>
      </rPr>
      <t>, lo que representa un contexto industrial real y a gran escala, obteniendo la máxima puntuación.</t>
    </r>
  </si>
  <si>
    <r>
      <t xml:space="preserve">La matriz de clasificación es clara: el estudio proporciona </t>
    </r>
    <r>
      <rPr>
        <b/>
        <sz val="11"/>
        <color theme="1"/>
        <rFont val="Aptos Narrow"/>
        <family val="2"/>
        <scheme val="minor"/>
      </rPr>
      <t>"evidencia empírica sólida del impacto conjunto de IA y agilidad"</t>
    </r>
    <r>
      <rPr>
        <sz val="11"/>
        <color theme="1"/>
        <rFont val="Aptos Narrow"/>
        <family val="2"/>
        <scheme val="minor"/>
      </rPr>
      <t xml:space="preserve"> en el éxito de los proyectos. El impacto está demostrado estadísticamente.</t>
    </r>
  </si>
  <si>
    <r>
      <t xml:space="preserve">La discusión se centra en un modelo estratégico y en "percepciones de liderazgo". El resumen de la PI4 señala que </t>
    </r>
    <r>
      <rPr>
        <b/>
        <sz val="11"/>
        <color theme="1"/>
        <rFont val="Aptos Narrow"/>
        <family val="2"/>
        <scheme val="minor"/>
      </rPr>
      <t>"no se evalúan herramientas específicas ni entornos técnicos concretos"</t>
    </r>
    <r>
      <rPr>
        <sz val="11"/>
        <color theme="1"/>
        <rFont val="Aptos Narrow"/>
        <family val="2"/>
        <scheme val="minor"/>
      </rPr>
      <t>, por lo que no se discute la integración en el ecosistema.</t>
    </r>
  </si>
  <si>
    <t>La reproducibilidad es baja. Aunque el método estadístico es claro, el conjunto de datos de una encuesta a 473 empresas es privado y no puede ser accedido por otros investigadores para replicar el estudio</t>
  </si>
  <si>
    <t>A88</t>
  </si>
  <si>
    <t>El tipo de estudio es "Experimental", lo que implica una metodología de investigación rigurosa, sistemática y con una clara evaluación cuantitativa o cualitativa.</t>
  </si>
  <si>
    <t>La validación se realiza aplicando la herramienta (ChatGPT) a tareas de desarrollo, pero el resumen no especifica si fue dentro de un proyecto real. Es probable que sea un experimento en un entorno controlado, no industrial.</t>
  </si>
  <si>
    <r>
      <t xml:space="preserve">Se reporta evidencia de impacto directo en la productividad del desarrollador: </t>
    </r>
    <r>
      <rPr>
        <b/>
        <sz val="11"/>
        <color theme="1"/>
        <rFont val="Aptos Narrow"/>
        <family val="2"/>
        <scheme val="minor"/>
      </rPr>
      <t>"Ayuda a reducir el tiempo de desarrollo"</t>
    </r>
    <r>
      <rPr>
        <sz val="11"/>
        <color theme="1"/>
        <rFont val="Aptos Narrow"/>
        <family val="2"/>
        <scheme val="minor"/>
      </rPr>
      <t xml:space="preserve"> y </t>
    </r>
    <r>
      <rPr>
        <b/>
        <sz val="11"/>
        <color theme="1"/>
        <rFont val="Aptos Narrow"/>
        <family val="2"/>
        <scheme val="minor"/>
      </rPr>
      <t>"mejora comprensión de código"</t>
    </r>
    <r>
      <rPr>
        <sz val="11"/>
        <color theme="1"/>
        <rFont val="Aptos Narrow"/>
        <family val="2"/>
        <scheme val="minor"/>
      </rPr>
      <t>. Al ser un estudio experimental, se asume que esta evidencia está respaldada por la observación.</t>
    </r>
  </si>
  <si>
    <r>
      <t xml:space="preserve">La integración se discute a nivel de la tarea del desarrollador (codificación, debugging), pero el resumen indica que </t>
    </r>
    <r>
      <rPr>
        <b/>
        <sz val="11"/>
        <color theme="1"/>
        <rFont val="Aptos Narrow"/>
        <family val="2"/>
        <scheme val="minor"/>
      </rPr>
      <t>"no se menciona un marco formal"</t>
    </r>
    <r>
      <rPr>
        <sz val="11"/>
        <color theme="1"/>
        <rFont val="Aptos Narrow"/>
        <family val="2"/>
        <scheme val="minor"/>
      </rPr>
      <t xml:space="preserve"> ágil. No se profundiza en la integración con el ecosistema de herramientas.</t>
    </r>
  </si>
  <si>
    <t>La reproducibilidad es máxima. Al utilizar una herramienta pública y muy conocida como ChatGPT, el experimento puede ser replicado por otros investigadores con un alto grado de fidelidad.</t>
  </si>
  <si>
    <t>A89</t>
  </si>
  <si>
    <t>El tipo de estudio es de "divulgación / revisión tecnológica". Es un enfoque periodístico o descriptivo, no una metodología de investigación formal.</t>
  </si>
  <si>
    <t>Al ser un artículo de revisión, no presenta una validación propia en un contexto real. La matriz de clasificación confirma "sin validación empírica".</t>
  </si>
  <si>
    <r>
      <t xml:space="preserve">Se discuten beneficios como la </t>
    </r>
    <r>
      <rPr>
        <b/>
        <sz val="11"/>
        <color theme="1"/>
        <rFont val="Aptos Narrow"/>
        <family val="2"/>
        <scheme val="minor"/>
      </rPr>
      <t>"Reducción de tiempo de desarrollo"</t>
    </r>
    <r>
      <rPr>
        <sz val="11"/>
        <color theme="1"/>
        <rFont val="Aptos Narrow"/>
        <family val="2"/>
        <scheme val="minor"/>
      </rPr>
      <t>, pero estos son los beneficios atribuidos a las herramientas que se revisan, no el resultado de una evidencia empírica generada por el propio estudio.</t>
    </r>
  </si>
  <si>
    <t>El artículo se centra en cómo los "asistentes de codificación" se usan en "entornos ágiles", por lo que la discusión sobre la integración en el flujo de trabajo del desarrollador es central, aunque sea a nivel conceptual.</t>
  </si>
  <si>
    <t>La reproducibilidad es baja. El artículo presenta un panorama de herramientas y tendencias; no es un método o experimento que pueda ser replicado.</t>
  </si>
  <si>
    <t>A90</t>
  </si>
  <si>
    <t>El tipo de estudio es "Empírico" y se autodenomina una "evaluación basada en evidencia", lo que indica una metodología de investigación rigurosa y sistemática.</t>
  </si>
  <si>
    <r>
      <t xml:space="preserve">La validación se realiza en </t>
    </r>
    <r>
      <rPr>
        <b/>
        <sz val="11"/>
        <color theme="1"/>
        <rFont val="Aptos Narrow"/>
        <family val="2"/>
        <scheme val="minor"/>
      </rPr>
      <t>"entornos simulados"</t>
    </r>
    <r>
      <rPr>
        <sz val="11"/>
        <color theme="1"/>
        <rFont val="Aptos Narrow"/>
        <family val="2"/>
        <scheme val="minor"/>
      </rPr>
      <t>. Según nuestra rúbrica, la validación en un entorno que no es de proyecto real (industrial u open-source) tiene una puntuación baja.</t>
    </r>
  </si>
  <si>
    <r>
      <t xml:space="preserve">Se reporta evidencia de impacto en métricas de rendimiento (no funcionales): la IA puede generar soluciones con </t>
    </r>
    <r>
      <rPr>
        <b/>
        <sz val="11"/>
        <color theme="1"/>
        <rFont val="Aptos Narrow"/>
        <family val="2"/>
        <scheme val="minor"/>
      </rPr>
      <t>"menor consumo energético"</t>
    </r>
    <r>
      <rPr>
        <sz val="11"/>
        <color theme="1"/>
        <rFont val="Aptos Narrow"/>
        <family val="2"/>
        <scheme val="minor"/>
      </rPr>
      <t xml:space="preserve"> en algunos casos. Es una evidencia cuantitativa medida en el experimento.</t>
    </r>
  </si>
  <si>
    <r>
      <t xml:space="preserve">El resumen es explícito en este punto. La PI4 indica: </t>
    </r>
    <r>
      <rPr>
        <b/>
        <sz val="11"/>
        <color theme="1"/>
        <rFont val="Aptos Narrow"/>
        <family val="2"/>
        <scheme val="minor"/>
      </rPr>
      <t>"Falta de contextualización ágil, no se vincula directamente a marcos ágiles"</t>
    </r>
    <r>
      <rPr>
        <sz val="11"/>
        <color theme="1"/>
        <rFont val="Aptos Narrow"/>
        <family val="2"/>
        <scheme val="minor"/>
      </rPr>
      <t>. No hay discusión sobre la integración en el ecosistema.</t>
    </r>
  </si>
  <si>
    <t>La reproducibilidad es máxima. El estudio compara herramientas públicas (ChatGPT, AutoML) en tareas de codificación definidas, lo que permite que el experimento sea replicado por otros investigadores.</t>
  </si>
  <si>
    <t>A91</t>
  </si>
  <si>
    <t>No aplica. Al ser un estudio secundario, su propósito es analizar la literatura. De hecho, la PI4 señala como hallazgo la "escasa validación empírica en contextos industriales" en los estudios que revisa.</t>
  </si>
  <si>
    <t>No aplica. El trabajo no genera evidencia primaria sobre el impacto de una solución. Su contribución es sintetizar los beneficios reportados por otros estudios (ej. "Mejora en precisión, reducción de riesgos").</t>
  </si>
  <si>
    <t>No aplica. El resultado es un documento de revisión. La PI4 incluso identifica la "falta de herramientas integradas" como una limitación en el campo.</t>
  </si>
  <si>
    <t>A92</t>
  </si>
  <si>
    <t>El estudio es una "revisión sistemática / narrativa". Es un enfoque metodológico sistemático, aunque la combinación con "narrativa" puede hacerlo ligeramente menos riguroso que una revisión sistemática estricta.</t>
  </si>
  <si>
    <t>No aplica. Al ser un estudio secundario, su propósito es analizar y sintetizar la literatura sobre la gestión de la deuda técnica, no proponer y validar una solución propia.</t>
  </si>
  <si>
    <t>No aplica. El trabajo no genera evidencia primaria sobre el impacto de una solución. Su contribución es resumir los beneficios reportados por otros estudios (ej. "reducción de deuda técnica").</t>
  </si>
  <si>
    <t>No aplica. El resultado es un documento de revisión. Además, el resumen señala que "no se acota específicamente a un marco ágil", por lo que la integración en el ecosistema no es el foco.</t>
  </si>
  <si>
    <t>La reproducibilidad del método de revisión se considera alta. La matriz de clasificación confirma que presenta una "clasificación clara y fundamentada de técnicas y herramientas", lo que permitiría a otros replicar el análisis.</t>
  </si>
  <si>
    <t>A93</t>
  </si>
  <si>
    <t>El tipo de estudio es "Empírico" y comparativo. Es un enfoque de investigación riguroso y sistemático para evaluar el rendimiento de una herramienta.</t>
  </si>
  <si>
    <t>La validación se realiza sobre artefactos de proyectos reales ("historias de usuario") y se compara con "evaluadores humanos", lo que lo sitúa en un contexto de evaluación realista y relevante, aunque sea en un entorno controlado.</t>
  </si>
  <si>
    <r>
      <t xml:space="preserve">Se proporciona evidencia comparativa clara de impacto: la herramienta ofrece </t>
    </r>
    <r>
      <rPr>
        <b/>
        <sz val="11"/>
        <color theme="1"/>
        <rFont val="Aptos Narrow"/>
        <family val="2"/>
        <scheme val="minor"/>
      </rPr>
      <t>"evaluación automática sin entrenamiento previo"</t>
    </r>
    <r>
      <rPr>
        <sz val="11"/>
        <color theme="1"/>
        <rFont val="Aptos Narrow"/>
        <family val="2"/>
        <scheme val="minor"/>
      </rPr>
      <t xml:space="preserve"> con </t>
    </r>
    <r>
      <rPr>
        <b/>
        <sz val="11"/>
        <color theme="1"/>
        <rFont val="Aptos Narrow"/>
        <family val="2"/>
        <scheme val="minor"/>
      </rPr>
      <t>"resultados similares a los humanos"</t>
    </r>
    <r>
      <rPr>
        <sz val="11"/>
        <color theme="1"/>
        <rFont val="Aptos Narrow"/>
        <family val="2"/>
        <scheme val="minor"/>
      </rPr>
      <t>. Es una evidencia de rendimiento directa.</t>
    </r>
  </si>
  <si>
    <t>El estudio se centra en la eficacia de ChatGPT como herramienta de análisis, no en su integración en un ecosistema. Se utiliza para la tarea de "backlog grooming", pero no se discute su integración con herramientas como Jira.</t>
  </si>
  <si>
    <t>La reproducibilidad es máxima. Al utilizar una herramienta pública (ChatGPT) y compararla con otra conocida (AQUSA) en una tarea definida, el experimento puede ser replicado por otros investigadores.</t>
  </si>
  <si>
    <t>A94</t>
  </si>
  <si>
    <t>El tipo de estudio es "Experimental", lo que implica una metodología de investigación rigurosa, sistemática y con una clara evaluación cuantitativa de los resultados.</t>
  </si>
  <si>
    <r>
      <t xml:space="preserve">El resumen es explícito en este punto. La PI4 indica claramente la limitación: </t>
    </r>
    <r>
      <rPr>
        <b/>
        <sz val="11"/>
        <color theme="1"/>
        <rFont val="Aptos Narrow"/>
        <family val="2"/>
        <scheme val="minor"/>
      </rPr>
      <t>"Limitado a datasets académicos; sin validación en entornos industriales reales"</t>
    </r>
    <r>
      <rPr>
        <sz val="11"/>
        <color theme="1"/>
        <rFont val="Aptos Narrow"/>
        <family val="2"/>
        <scheme val="minor"/>
      </rPr>
      <t>.</t>
    </r>
  </si>
  <si>
    <r>
      <t xml:space="preserve">Se proporciona evidencia cuantitativa explícita y de alto impacto: </t>
    </r>
    <r>
      <rPr>
        <b/>
        <sz val="11"/>
        <color theme="1"/>
        <rFont val="Aptos Narrow"/>
        <family val="2"/>
        <scheme val="minor"/>
      </rPr>
      <t>"RE-BERT supera a modelos estándar como BERT hasta en 4.8%"</t>
    </r>
    <r>
      <rPr>
        <sz val="11"/>
        <color theme="1"/>
        <rFont val="Aptos Narrow"/>
        <family val="2"/>
        <scheme val="minor"/>
      </rPr>
      <t>. Es una mejora medida y demostrada.</t>
    </r>
  </si>
  <si>
    <t>El estudio se centra en la "estimación funcional basada en historias de usuario", pero no discute la integración del modelo propuesto en herramientas de gestión de proyectos o flujos de trabajo ágiles.</t>
  </si>
  <si>
    <t>La reproducibilidad es máxima. El estudio utiliza modelos específicos (RE-BERT) y se valida sobre "datasets académicos", que suelen ser públicos, permitiendo una replicación directa del experimento.</t>
  </si>
  <si>
    <t>A95</t>
  </si>
  <si>
    <t>El tipo de estudio es "empírico comparativo" y presenta un "framework". Es una metodología de investigación muy sólida, que combina la construcción de una propuesta con su validación rigurosa.</t>
  </si>
  <si>
    <r>
      <t xml:space="preserve">La validación se realiza sobre artefactos de proyectos reales (historias de usuario). Sin embargo, la PI4 señala que </t>
    </r>
    <r>
      <rPr>
        <b/>
        <sz val="11"/>
        <color theme="1"/>
        <rFont val="Aptos Narrow"/>
        <family val="2"/>
        <scheme val="minor"/>
      </rPr>
      <t>"no se valida con equipos reales"</t>
    </r>
    <r>
      <rPr>
        <sz val="11"/>
        <color theme="1"/>
        <rFont val="Aptos Narrow"/>
        <family val="2"/>
        <scheme val="minor"/>
      </rPr>
      <t>, lo que sitúa el contexto a nivel de dataset, no de un flujo de trabajo industrial en vivo.</t>
    </r>
  </si>
  <si>
    <r>
      <t xml:space="preserve">Se reporta evidencia clara de impacto en el proceso de gestión del backlog: </t>
    </r>
    <r>
      <rPr>
        <b/>
        <sz val="11"/>
        <color theme="1"/>
        <rFont val="Aptos Narrow"/>
        <family val="2"/>
        <scheme val="minor"/>
      </rPr>
      <t>"Mejora la eficiencia en la organización de historias, reduce ambigüedad y esfuerzo manual"</t>
    </r>
    <r>
      <rPr>
        <sz val="11"/>
        <color theme="1"/>
        <rFont val="Aptos Narrow"/>
        <family val="2"/>
        <scheme val="minor"/>
      </rPr>
      <t>. Al ser un estudio empírico, esta evidencia está demostrada.</t>
    </r>
  </si>
  <si>
    <t>La propuesta es un framework para la "planificación del backlog y refinamiento de historias". Su objetivo es integrarse y mejorar este flujo de trabajo central en las metodologías ágiles.</t>
  </si>
  <si>
    <t>El estudio detalla las técnicas específicas utilizadas (TextCNN, K-means, etc.) y su marco de evaluación. Esta naturaleza empírica y comparativa implica un alto nivel de detalle, lo que facilita su reproducibilidad.</t>
  </si>
  <si>
    <t>A96</t>
  </si>
  <si>
    <t>El estudio es un "artículo de reflexión / visión técnica". Es un enfoque conceptual valioso para plantear ideas futuras, pero no sigue una metodología de investigación empírica.</t>
  </si>
  <si>
    <r>
      <t xml:space="preserve">El resumen de la PI4 es explícito: </t>
    </r>
    <r>
      <rPr>
        <b/>
        <sz val="11"/>
        <color theme="1"/>
        <rFont val="Aptos Narrow"/>
        <family val="2"/>
        <scheme val="minor"/>
      </rPr>
      <t>"Enfoque conceptual, sin validación empírica ni pruebas reales"</t>
    </r>
    <r>
      <rPr>
        <sz val="11"/>
        <color theme="1"/>
        <rFont val="Aptos Narrow"/>
        <family val="2"/>
        <scheme val="minor"/>
      </rPr>
      <t>. La propuesta no se ha validado en ningún contexto práctico.</t>
    </r>
  </si>
  <si>
    <r>
      <t xml:space="preserve">Se enumeran beneficios potenciales muy interesantes, como la </t>
    </r>
    <r>
      <rPr>
        <b/>
        <sz val="11"/>
        <color theme="1"/>
        <rFont val="Aptos Narrow"/>
        <family val="2"/>
        <scheme val="minor"/>
      </rPr>
      <t>"reducción de la carga cognitiva"</t>
    </r>
    <r>
      <rPr>
        <sz val="11"/>
        <color theme="1"/>
        <rFont val="Aptos Narrow"/>
        <family val="2"/>
        <scheme val="minor"/>
      </rPr>
      <t xml:space="preserve"> y la promoción de la </t>
    </r>
    <r>
      <rPr>
        <b/>
        <sz val="11"/>
        <color theme="1"/>
        <rFont val="Aptos Narrow"/>
        <family val="2"/>
        <scheme val="minor"/>
      </rPr>
      <t>"equidad y el bienestar del equipo"</t>
    </r>
    <r>
      <rPr>
        <sz val="11"/>
        <color theme="1"/>
        <rFont val="Aptos Narrow"/>
        <family val="2"/>
        <scheme val="minor"/>
      </rPr>
      <t>. Sin embargo, son beneficios teóricos no respaldados por evidencia.</t>
    </r>
  </si>
  <si>
    <t>La integración es el tema central. La propuesta del "Agile Copilot" está diseñada conceptualmente para integrarse en múltiples fases del flujo de trabajo ágil (planificación, backlog grooming, etc.).</t>
  </si>
  <si>
    <t>Al ser una propuesta conceptual y de visión, el artículo describe la idea a un alto nivel. Carece de los detalles técnicos necesarios que permitirían una replicación directa de la herramienta.</t>
  </si>
  <si>
    <t>A97</t>
  </si>
  <si>
    <t>El tipo de estudio es una "Revisión narrativa", un enfoque metodológico válido para explorar un tema, aunque menos riguroso que una revisión sistemática.</t>
  </si>
  <si>
    <t>Al ser un estudio de revisión, no presenta una validación propia. Discute el uso de herramientas en contextos reales, pero no valida una propuesta específica en un proyecto.</t>
  </si>
  <si>
    <r>
      <t xml:space="preserve">Se reportan beneficios como </t>
    </r>
    <r>
      <rPr>
        <b/>
        <sz val="11"/>
        <color theme="1"/>
        <rFont val="Aptos Narrow"/>
        <family val="2"/>
        <scheme val="minor"/>
      </rPr>
      <t>"acelerar tareas"</t>
    </r>
    <r>
      <rPr>
        <sz val="11"/>
        <color theme="1"/>
        <rFont val="Aptos Narrow"/>
        <family val="2"/>
        <scheme val="minor"/>
      </rPr>
      <t xml:space="preserve"> y </t>
    </r>
    <r>
      <rPr>
        <b/>
        <sz val="11"/>
        <color theme="1"/>
        <rFont val="Aptos Narrow"/>
        <family val="2"/>
        <scheme val="minor"/>
      </rPr>
      <t>"mejora productividad"</t>
    </r>
    <r>
      <rPr>
        <sz val="11"/>
        <color theme="1"/>
        <rFont val="Aptos Narrow"/>
        <family val="2"/>
        <scheme val="minor"/>
      </rPr>
      <t>. Estos son beneficios analizados a partir del potencial de las herramientas, no de un experimento primario.</t>
    </r>
  </si>
  <si>
    <t>La discusión sobre la integración es un punto central. El resumen de la PI5 señala una "tendencia creciente a integrar LLMs en todas las fases del ciclo ágil", y el estudio aborda la aplicación en codificación, pruebas, documentación, etc.</t>
  </si>
  <si>
    <t>El artículo presenta una síntesis de ideas, herramientas y desafíos. Los conceptos son claros y, al basarse en herramientas públicas como ChatGPT, pueden ser explorados y validados por otros investigadores.</t>
  </si>
  <si>
    <t>A98</t>
  </si>
  <si>
    <r>
      <t xml:space="preserve">El resumen de la PI4 es explícito: </t>
    </r>
    <r>
      <rPr>
        <b/>
        <sz val="11"/>
        <color theme="1"/>
        <rFont val="Aptos Narrow"/>
        <family val="2"/>
        <scheme val="minor"/>
      </rPr>
      <t>"Falta de aplicación en entornos reales, dependencia de datasets etiquetados limitados"</t>
    </r>
    <r>
      <rPr>
        <sz val="11"/>
        <color theme="1"/>
        <rFont val="Aptos Narrow"/>
        <family val="2"/>
        <scheme val="minor"/>
      </rPr>
      <t>. La validación es a nivel de laboratorio o académica, no de proyecto real.</t>
    </r>
  </si>
  <si>
    <r>
      <t xml:space="preserve">Se reporta evidencia de impacto en el proceso de gestión de requisitos: </t>
    </r>
    <r>
      <rPr>
        <b/>
        <sz val="11"/>
        <color theme="1"/>
        <rFont val="Aptos Narrow"/>
        <family val="2"/>
        <scheme val="minor"/>
      </rPr>
      <t>"Mejora la priorización de historias"</t>
    </r>
    <r>
      <rPr>
        <sz val="11"/>
        <color theme="1"/>
        <rFont val="Aptos Narrow"/>
        <family val="2"/>
        <scheme val="minor"/>
      </rPr>
      <t xml:space="preserve"> y </t>
    </r>
    <r>
      <rPr>
        <b/>
        <sz val="11"/>
        <color theme="1"/>
        <rFont val="Aptos Narrow"/>
        <family val="2"/>
        <scheme val="minor"/>
      </rPr>
      <t>"reduce carga manual"</t>
    </r>
    <r>
      <rPr>
        <sz val="11"/>
        <color theme="1"/>
        <rFont val="Aptos Narrow"/>
        <family val="2"/>
        <scheme val="minor"/>
      </rPr>
      <t>. Al ser un estudio experimental, esta evidencia está medida y respaldada.</t>
    </r>
  </si>
  <si>
    <t>La propuesta se aplica al "análisis y refinamiento de requisitos ágiles", pero el resumen no indica que se discuta la integración con herramientas del ecosistema ágil. El foco está en el modelo de clasificación.</t>
  </si>
  <si>
    <t>La reproducibilidad es muy alta. El estudio utiliza modelos de ML estándar (SVM, J48, etc.) y un enfoque experimental claro, lo que permite que sea replicado por otros investigadores.</t>
  </si>
  <si>
    <t>A100</t>
  </si>
  <si>
    <t>La metodología es un "análisis estadístico" de tipo exploratorio, un enfoque de investigación sistemático y válido para identificar factores y correlaciones.</t>
  </si>
  <si>
    <t>El estudio se centra en "pequeñas y medianas empresas (pymes)", lo que representa un contexto de aplicación industrial y real de máximo nivel.</t>
  </si>
  <si>
    <t>Se identifican beneficios a nivel de negocio ("aumenta competitividad, adaptabilidad"). Al ser un análisis estadístico, esta evidencia está respaldada por datos, aunque sea de forma correlacional y no experimental.</t>
  </si>
  <si>
    <t>El resumen es explícito: la discusión se centra en "gestión de procesos, no en desarrollo técnico de software". Por lo tanto, no se aborda la integración en el ecosistema de herramientas de desarrollo.</t>
  </si>
  <si>
    <t>La reproducibilidad es baja. Aunque el método estadístico es replicable, es muy probable que los datos de la encuesta a las pymes sean privados, lo que impide una replicación directa del estudio.</t>
  </si>
  <si>
    <t>A101</t>
  </si>
  <si>
    <t>El estudio presenta una "propuesta aplicada" de forma conceptual. Es un enfoque sistemático en su diseño, pero carece de la validación de un estudio empírico.</t>
  </si>
  <si>
    <r>
      <t xml:space="preserve">El resumen es explícito: </t>
    </r>
    <r>
      <rPr>
        <b/>
        <sz val="11"/>
        <color theme="1"/>
        <rFont val="Aptos Narrow"/>
        <family val="2"/>
        <scheme val="minor"/>
      </rPr>
      <t>"No presenta validación empírica; el enfoque es conceptual con escenarios hipotéticos"</t>
    </r>
    <r>
      <rPr>
        <sz val="11"/>
        <color theme="1"/>
        <rFont val="Aptos Narrow"/>
        <family val="2"/>
        <scheme val="minor"/>
      </rPr>
      <t>. No se aplica en ningún contexto de proyecto real.</t>
    </r>
  </si>
  <si>
    <r>
      <t xml:space="preserve">Se enumeran beneficios potenciales como la </t>
    </r>
    <r>
      <rPr>
        <b/>
        <sz val="11"/>
        <color theme="1"/>
        <rFont val="Aptos Narrow"/>
        <family val="2"/>
        <scheme val="minor"/>
      </rPr>
      <t>"mejora la precisión en priorización"</t>
    </r>
    <r>
      <rPr>
        <sz val="11"/>
        <color theme="1"/>
        <rFont val="Aptos Narrow"/>
        <family val="2"/>
        <scheme val="minor"/>
      </rPr>
      <t xml:space="preserve"> y la </t>
    </r>
    <r>
      <rPr>
        <b/>
        <sz val="11"/>
        <color theme="1"/>
        <rFont val="Aptos Narrow"/>
        <family val="2"/>
        <scheme val="minor"/>
      </rPr>
      <t>"reducción de tiempos de entrega"</t>
    </r>
    <r>
      <rPr>
        <sz val="11"/>
        <color theme="1"/>
        <rFont val="Aptos Narrow"/>
        <family val="2"/>
        <scheme val="minor"/>
      </rPr>
      <t>, pero al basarse en escenarios hipotéticos, no hay evidencia que los respalde.</t>
    </r>
  </si>
  <si>
    <r>
      <t xml:space="preserve">La integración es el tema central del estudio. Propone una </t>
    </r>
    <r>
      <rPr>
        <b/>
        <sz val="11"/>
        <color theme="1"/>
        <rFont val="Aptos Narrow"/>
        <family val="2"/>
        <scheme val="minor"/>
      </rPr>
      <t>"integración estructurada dentro del ciclo Scrum"</t>
    </r>
    <r>
      <rPr>
        <sz val="11"/>
        <color theme="1"/>
        <rFont val="Aptos Narrow"/>
        <family val="2"/>
        <scheme val="minor"/>
      </rPr>
      <t xml:space="preserve"> con un </t>
    </r>
    <r>
      <rPr>
        <b/>
        <sz val="11"/>
        <color theme="1"/>
        <rFont val="Aptos Narrow"/>
        <family val="2"/>
        <scheme val="minor"/>
      </rPr>
      <t>"mapeo explícito con los roles de Scrum"</t>
    </r>
    <r>
      <rPr>
        <sz val="11"/>
        <color theme="1"/>
        <rFont val="Aptos Narrow"/>
        <family val="2"/>
        <scheme val="minor"/>
      </rPr>
      <t>. La discusión sobre la integración es profunda, aunque teórica.</t>
    </r>
  </si>
  <si>
    <t>Al proponer un marco de fusión estructurado y discutir técnicas de IA, se asume que la propuesta está lo suficientemente detallada como para ser comprendida y reimplementada conceptualmente por otros.</t>
  </si>
  <si>
    <t>A102</t>
  </si>
  <si>
    <t>La metodología es una "revisión comparativa y estudio empírico". Es un enfoque de investigación riguroso y sistemático, ideal para evaluar la eficacia de diferentes enfoques.</t>
  </si>
  <si>
    <r>
      <t xml:space="preserve">Aunque se aplica a un problema real de Scrum (estimación), la matriz de clasificación señala que </t>
    </r>
    <r>
      <rPr>
        <b/>
        <sz val="11"/>
        <color theme="1"/>
        <rFont val="Aptos Narrow"/>
        <family val="2"/>
        <scheme val="minor"/>
      </rPr>
      <t>"no se aplica directamente en proyectos reales"</t>
    </r>
    <r>
      <rPr>
        <sz val="11"/>
        <color theme="1"/>
        <rFont val="Aptos Narrow"/>
        <family val="2"/>
        <scheme val="minor"/>
      </rPr>
      <t>. La validación se realiza a nivel de datasets, no en un entorno de proyecto en vivo.</t>
    </r>
  </si>
  <si>
    <r>
      <t xml:space="preserve">Se proporciona evidencia de impacto cuantitativa y directa. El estudio demuestra que </t>
    </r>
    <r>
      <rPr>
        <b/>
        <sz val="11"/>
        <color theme="1"/>
        <rFont val="Aptos Narrow"/>
        <family val="2"/>
        <scheme val="minor"/>
      </rPr>
      <t>"los métodos ML muestran mayor precisión que los tradicionales"</t>
    </r>
    <r>
      <rPr>
        <sz val="11"/>
        <color theme="1"/>
        <rFont val="Aptos Narrow"/>
        <family val="2"/>
        <scheme val="minor"/>
      </rPr>
      <t xml:space="preserve"> bajo ciertas condiciones, lo cual es un hallazgo empírico clave.</t>
    </r>
  </si>
  <si>
    <t>El estudio se centra en comparar la precisión de los métodos de estimación, pero no discute cómo los modelos de ML se integrarían en el flujo de trabajo o en las herramientas del equipo Scrum.</t>
  </si>
  <si>
    <t>Al ser un estudio comparativo que utiliza técnicas de ML conocidas (SVM, GRNN, etc.), el enfoque experimental está bien descrito y puede ser reproducido por otros investigadores.</t>
  </si>
  <si>
    <t>A103</t>
  </si>
  <si>
    <t>La metodología es una "propuesta metodológica" con una "validación exploratoria". Es un enfoque sistemático para presentar una nueva idea, pero carece del rigor de una validación empírica.</t>
  </si>
  <si>
    <r>
      <t xml:space="preserve">El resumen es explícito en este punto. La PI4 indica claramente: </t>
    </r>
    <r>
      <rPr>
        <b/>
        <sz val="11"/>
        <color theme="1"/>
        <rFont val="Aptos Narrow"/>
        <family val="2"/>
        <scheme val="minor"/>
      </rPr>
      <t>"No se valida en entornos reales"</t>
    </r>
    <r>
      <rPr>
        <sz val="11"/>
        <color theme="1"/>
        <rFont val="Aptos Narrow"/>
        <family val="2"/>
        <scheme val="minor"/>
      </rPr>
      <t>. La propuesta es puramente conceptual.</t>
    </r>
  </si>
  <si>
    <r>
      <t xml:space="preserve">Se describe el </t>
    </r>
    <r>
      <rPr>
        <b/>
        <sz val="11"/>
        <color theme="1"/>
        <rFont val="Aptos Narrow"/>
        <family val="2"/>
        <scheme val="minor"/>
      </rPr>
      <t>"Potencial para reducir esfuerzo manual"</t>
    </r>
    <r>
      <rPr>
        <sz val="11"/>
        <color theme="1"/>
        <rFont val="Aptos Narrow"/>
        <family val="2"/>
        <scheme val="minor"/>
      </rPr>
      <t xml:space="preserve"> como un beneficio. El uso de la palabra "potencial" y la falta de métricas cuantitativas indican que el impacto es una afirmación teórica, no una evidencia demostrada.</t>
    </r>
  </si>
  <si>
    <t>La propuesta del chatbot (RGBot) está diseñada para integrarse en la "fase inicial del ciclo ágil". La integración en el flujo de trabajo de levantamiento de requisitos es una parte central de la discusión, aunque sea a nivel conceptual.</t>
  </si>
  <si>
    <t>Al proponer una herramienta específica (un chatbot con ML y NLP), se asume que la descripción de su funcionamiento es lo suficientemente detallada como para que la idea pueda ser comprendida y reimplementada conceptualmente.</t>
  </si>
  <si>
    <t>A104</t>
  </si>
  <si>
    <t>La metodología es una "propuesta metodológica validada", que incluye la creación de una herramienta y una "evaluación con usuarios". Es un enfoque de investigación constructivo y muy riguroso.</t>
  </si>
  <si>
    <r>
      <t xml:space="preserve">La validación se realiza con "expertos", lo cual es un contexto de evaluación relevante. Sin embargo, el resumen de la PI4 es claro: </t>
    </r>
    <r>
      <rPr>
        <b/>
        <sz val="11"/>
        <color theme="1"/>
        <rFont val="Aptos Narrow"/>
        <family val="2"/>
        <scheme val="minor"/>
      </rPr>
      <t>"sin aplicación en entornos reales"</t>
    </r>
    <r>
      <rPr>
        <sz val="11"/>
        <color theme="1"/>
        <rFont val="Aptos Narrow"/>
        <family val="2"/>
        <scheme val="minor"/>
      </rPr>
      <t>. La validación es a nivel de laboratorio con expertos, no en un proyecto industrial en vivo.</t>
    </r>
  </si>
  <si>
    <r>
      <t xml:space="preserve">Se reportan beneficios en el proceso, como la </t>
    </r>
    <r>
      <rPr>
        <b/>
        <sz val="11"/>
        <color theme="1"/>
        <rFont val="Aptos Narrow"/>
        <family val="2"/>
        <scheme val="minor"/>
      </rPr>
      <t>"mejora la toma de decisiones"</t>
    </r>
    <r>
      <rPr>
        <sz val="11"/>
        <color theme="1"/>
        <rFont val="Aptos Narrow"/>
        <family val="2"/>
        <scheme val="minor"/>
      </rPr>
      <t xml:space="preserve"> y la </t>
    </r>
    <r>
      <rPr>
        <b/>
        <sz val="11"/>
        <color theme="1"/>
        <rFont val="Aptos Narrow"/>
        <family val="2"/>
        <scheme val="minor"/>
      </rPr>
      <t>"reducción de la subjetividad"</t>
    </r>
    <r>
      <rPr>
        <sz val="11"/>
        <color theme="1"/>
        <rFont val="Aptos Narrow"/>
        <family val="2"/>
        <scheme val="minor"/>
      </rPr>
      <t>. La "evaluación con usuarios" proporciona evidencia cualitativa de estos beneficios.</t>
    </r>
  </si>
  <si>
    <r>
      <t xml:space="preserve">El resultado del estudio es una </t>
    </r>
    <r>
      <rPr>
        <b/>
        <sz val="11"/>
        <color theme="1"/>
        <rFont val="Aptos Narrow"/>
        <family val="2"/>
        <scheme val="minor"/>
      </rPr>
      <t>"herramienta"</t>
    </r>
    <r>
      <rPr>
        <sz val="11"/>
        <color theme="1"/>
        <rFont val="Aptos Narrow"/>
        <family val="2"/>
        <scheme val="minor"/>
      </rPr>
      <t xml:space="preserve"> (Projection) diseñada para la "planificación de entregas" ágiles. La propuesta es un componente directo para el ecosistema de herramientas de gestión de proyectos.</t>
    </r>
  </si>
  <si>
    <t>Al presentar una herramienta y un método de evaluación con usuarios, se asume que la propuesta está descrita con un alto nivel de detalle, lo que facilita que el enfoque sea comprendido y replicado.</t>
  </si>
  <si>
    <t>A105</t>
  </si>
  <si>
    <t>La metodología es un "estudio empírico con comparación técnica". Es un enfoque de investigación cuantitativo, riguroso y sistemático.</t>
  </si>
  <si>
    <r>
      <t xml:space="preserve">El resumen de la PI4 es explícito: la validación está </t>
    </r>
    <r>
      <rPr>
        <b/>
        <sz val="11"/>
        <color theme="1"/>
        <rFont val="Aptos Narrow"/>
        <family val="2"/>
        <scheme val="minor"/>
      </rPr>
      <t>"limitado a evaluación con datasets sintéticos"</t>
    </r>
    <r>
      <rPr>
        <sz val="11"/>
        <color theme="1"/>
        <rFont val="Aptos Narrow"/>
        <family val="2"/>
        <scheme val="minor"/>
      </rPr>
      <t>. Según nuestra rúbrica, la validación con datos sintéticos tiene una puntuación baja.</t>
    </r>
  </si>
  <si>
    <r>
      <t xml:space="preserve">Se reporta evidencia de impacto en el proceso: </t>
    </r>
    <r>
      <rPr>
        <b/>
        <sz val="11"/>
        <color theme="1"/>
        <rFont val="Aptos Narrow"/>
        <family val="2"/>
        <scheme val="minor"/>
      </rPr>
      <t>"Mejora la organización de historias"</t>
    </r>
    <r>
      <rPr>
        <sz val="11"/>
        <color theme="1"/>
        <rFont val="Aptos Narrow"/>
        <family val="2"/>
        <scheme val="minor"/>
      </rPr>
      <t xml:space="preserve"> y </t>
    </r>
    <r>
      <rPr>
        <b/>
        <sz val="11"/>
        <color theme="1"/>
        <rFont val="Aptos Narrow"/>
        <family val="2"/>
        <scheme val="minor"/>
      </rPr>
      <t>"reduce el esfuerzo manual"</t>
    </r>
    <r>
      <rPr>
        <sz val="11"/>
        <color theme="1"/>
        <rFont val="Aptos Narrow"/>
        <family val="2"/>
        <scheme val="minor"/>
      </rPr>
      <t>. Al ser un estudio empírico, esta evidencia está medida, aunque sea sobre datos sintéticos.</t>
    </r>
  </si>
  <si>
    <r>
      <t xml:space="preserve">El resumen de la PI4 es claro al indicar </t>
    </r>
    <r>
      <rPr>
        <b/>
        <sz val="11"/>
        <color theme="1"/>
        <rFont val="Aptos Narrow"/>
        <family val="2"/>
        <scheme val="minor"/>
      </rPr>
      <t>"sin integración directa en herramientas ágiles reales"</t>
    </r>
    <r>
      <rPr>
        <sz val="11"/>
        <color theme="1"/>
        <rFont val="Aptos Narrow"/>
        <family val="2"/>
        <scheme val="minor"/>
      </rPr>
      <t>. No se discute la integración en el ecosistema.</t>
    </r>
  </si>
  <si>
    <t>La reproducibilidad es máxima. El estudio detalla las técnicas (K-means, TF-IDF) y se basa en un enfoque experimental, lo que permite que sea replicado fácilmente por otros investigadores.</t>
  </si>
  <si>
    <t>A106</t>
  </si>
  <si>
    <t>El estudio es "empírico y técnico", proponiendo un nuevo método de optimización (SOCF). Es una metodología de investigación cuantitativa, rigurosa y sistemática.</t>
  </si>
  <si>
    <r>
      <t xml:space="preserve">El resumen de la PI4 es explícito: la validación está </t>
    </r>
    <r>
      <rPr>
        <b/>
        <sz val="11"/>
        <color theme="1"/>
        <rFont val="Aptos Narrow"/>
        <family val="2"/>
        <scheme val="minor"/>
      </rPr>
      <t>"centrado en evaluación técnica con datasets públicos"</t>
    </r>
    <r>
      <rPr>
        <sz val="11"/>
        <color theme="1"/>
        <rFont val="Aptos Narrow"/>
        <family val="2"/>
        <scheme val="minor"/>
      </rPr>
      <t xml:space="preserve"> y </t>
    </r>
    <r>
      <rPr>
        <b/>
        <sz val="11"/>
        <color theme="1"/>
        <rFont val="Aptos Narrow"/>
        <family val="2"/>
        <scheme val="minor"/>
      </rPr>
      <t>"No aplica directamente en ciclos ágiles"</t>
    </r>
    <r>
      <rPr>
        <sz val="11"/>
        <color theme="1"/>
        <rFont val="Aptos Narrow"/>
        <family val="2"/>
        <scheme val="minor"/>
      </rPr>
      <t>. No se valida en un contexto de proyecto real.</t>
    </r>
  </si>
  <si>
    <r>
      <t xml:space="preserve">Se proporciona evidencia de impacto cuantitativa y muy específica: </t>
    </r>
    <r>
      <rPr>
        <b/>
        <sz val="11"/>
        <color theme="1"/>
        <rFont val="Aptos Narrow"/>
        <family val="2"/>
        <scheme val="minor"/>
      </rPr>
      <t>"Mejoras significativas en métricas como MAE, RMSE, MBRE"</t>
    </r>
    <r>
      <rPr>
        <sz val="11"/>
        <color theme="1"/>
        <rFont val="Aptos Narrow"/>
        <family val="2"/>
        <scheme val="minor"/>
      </rPr>
      <t xml:space="preserve"> en comparación con otros métodos. El impacto está claramente demostrado.</t>
    </r>
  </si>
  <si>
    <r>
      <t xml:space="preserve">El resumen de la PI4 es claro al indicar que </t>
    </r>
    <r>
      <rPr>
        <b/>
        <sz val="11"/>
        <color theme="1"/>
        <rFont val="Aptos Narrow"/>
        <family val="2"/>
        <scheme val="minor"/>
      </rPr>
      <t>"No aplica directamente en ciclos ágiles"</t>
    </r>
    <r>
      <rPr>
        <sz val="11"/>
        <color theme="1"/>
        <rFont val="Aptos Narrow"/>
        <family val="2"/>
        <scheme val="minor"/>
      </rPr>
      <t>. No hay discusión sobre la integración en el ecosistema o flujo de trabajo ágil.</t>
    </r>
  </si>
  <si>
    <r>
      <t xml:space="preserve">La reproducibilidad es máxima. El estudio utiliza un método específico (SOCF) y se valida sobre </t>
    </r>
    <r>
      <rPr>
        <b/>
        <sz val="11"/>
        <color theme="1"/>
        <rFont val="Aptos Narrow"/>
        <family val="2"/>
        <scheme val="minor"/>
      </rPr>
      <t>"datasets públicos"</t>
    </r>
    <r>
      <rPr>
        <sz val="11"/>
        <color theme="1"/>
        <rFont val="Aptos Narrow"/>
        <family val="2"/>
        <scheme val="minor"/>
      </rPr>
      <t>, lo que permite una replicación directa del experimento por parte de otros investigadores.</t>
    </r>
  </si>
  <si>
    <t>A107</t>
  </si>
  <si>
    <t>El tipo de estudio es "Experimental", lo que implica una metodología de investigación rigurosa y sistemática con una clara evaluación cuantitativa.</t>
  </si>
  <si>
    <r>
      <t xml:space="preserve">El resumen es explícito en este punto. La PI4 indica claramente la limitación: </t>
    </r>
    <r>
      <rPr>
        <b/>
        <sz val="11"/>
        <color theme="1"/>
        <rFont val="Aptos Narrow"/>
        <family val="2"/>
        <scheme val="minor"/>
      </rPr>
      <t>"validación sólo en entorno académico; no probado con equipos Scrum reales"</t>
    </r>
    <r>
      <rPr>
        <sz val="11"/>
        <color theme="1"/>
        <rFont val="Aptos Narrow"/>
        <family val="2"/>
        <scheme val="minor"/>
      </rPr>
      <t>.</t>
    </r>
  </si>
  <si>
    <r>
      <t xml:space="preserve">Se proporciona evidencia de impacto cuantitativa, explícita y de alto impacto: </t>
    </r>
    <r>
      <rPr>
        <b/>
        <sz val="11"/>
        <color theme="1"/>
        <rFont val="Aptos Narrow"/>
        <family val="2"/>
        <scheme val="minor"/>
      </rPr>
      <t>"Reduce el error promedio de estimación de 28% a 5.9%"</t>
    </r>
    <r>
      <rPr>
        <sz val="11"/>
        <color theme="1"/>
        <rFont val="Aptos Narrow"/>
        <family val="2"/>
        <scheme val="minor"/>
      </rPr>
      <t>. Es una mejora medida y demostrada.</t>
    </r>
  </si>
  <si>
    <t>El estudio se centra en la "estimación de esfuerzo en Scrum", pero el resumen no indica que se discuta la integración de la solución en herramientas de gestión de proyectos. El foco está en el modelo, no en su despliegue.</t>
  </si>
  <si>
    <t>La reproducibilidad es alta. El estudio utiliza técnicas estándar (SVM, redes neuronales) y se valida en un entorno académico, presumiblemente con un dataset accesible o bien descrito, lo que facilita la replicación del experimento.</t>
  </si>
  <si>
    <t>A108</t>
  </si>
  <si>
    <t>El estudio es un "artículo de reflexión", un enfoque conceptual valioso para plantear ideas futuras, pero no sigue una metodología de investigación empírica o sistemática.</t>
  </si>
  <si>
    <r>
      <t xml:space="preserve">El resumen de la PI4 es explícito: </t>
    </r>
    <r>
      <rPr>
        <b/>
        <sz val="11"/>
        <color theme="1"/>
        <rFont val="Aptos Narrow"/>
        <family val="2"/>
        <scheme val="minor"/>
      </rPr>
      <t>"No contiene evidencia empírica; se basa en análisis conceptual y revisión crítica"</t>
    </r>
    <r>
      <rPr>
        <sz val="11"/>
        <color theme="1"/>
        <rFont val="Aptos Narrow"/>
        <family val="2"/>
        <scheme val="minor"/>
      </rPr>
      <t>. La propuesta no se ha validado en ningún contexto práctico.</t>
    </r>
  </si>
  <si>
    <t>Se describen beneficios potenciales como la "mejora en productividad" y el "soporte a decisiones", pero son parte de la visión futura y no están respaldados por ninguna evidencia empírica.</t>
  </si>
  <si>
    <r>
      <t xml:space="preserve">La integración es el tema central. La propuesta discute un </t>
    </r>
    <r>
      <rPr>
        <b/>
        <sz val="11"/>
        <color theme="1"/>
        <rFont val="Aptos Narrow"/>
        <family val="2"/>
        <scheme val="minor"/>
      </rPr>
      <t>"rediseño integral del proceso con IA como apoyo en múltiples fases"</t>
    </r>
    <r>
      <rPr>
        <sz val="11"/>
        <color theme="1"/>
        <rFont val="Aptos Narrow"/>
        <family val="2"/>
        <scheme val="minor"/>
      </rPr>
      <t>, abordando la integración a un nivel holístico y conceptual.</t>
    </r>
  </si>
  <si>
    <t>Al ser un "análisis conceptual y revisión crítica", el artículo presenta ideas y una visión, no un artefacto o método técnico que pueda ser replicado.</t>
  </si>
  <si>
    <t>A109</t>
  </si>
  <si>
    <t>No aplica. El trabajo no genera evidencia primaria sobre el impacto de una solución. Su contribución es agregar los beneficios reportados por otros estudios (ej. "Mejora en la estimación").</t>
  </si>
  <si>
    <t>A110</t>
  </si>
  <si>
    <t>La metodología es un "diseño curricular" validado a través de un "estudio de caso" en un entorno educativo. Es un enfoque de investigación-acción sistemático y reconocido en pedagogía.</t>
  </si>
  <si>
    <r>
      <t xml:space="preserve">La validación se realiza en un </t>
    </r>
    <r>
      <rPr>
        <b/>
        <sz val="11"/>
        <color theme="1"/>
        <rFont val="Aptos Narrow"/>
        <family val="2"/>
        <scheme val="minor"/>
      </rPr>
      <t>"entorno académico"</t>
    </r>
    <r>
      <rPr>
        <sz val="11"/>
        <color theme="1"/>
        <rFont val="Aptos Narrow"/>
        <family val="2"/>
        <scheme val="minor"/>
      </rPr>
      <t>. Según nuestra rúbrica, la validación con estudiantes en un curso tiene una puntuación baja en comparación con los contextos de proyectos industriales.</t>
    </r>
  </si>
  <si>
    <r>
      <t xml:space="preserve">Se reportan evidencias de impacto positivo en el ámbito educativo: </t>
    </r>
    <r>
      <rPr>
        <b/>
        <sz val="11"/>
        <color theme="1"/>
        <rFont val="Aptos Narrow"/>
        <family val="2"/>
        <scheme val="minor"/>
      </rPr>
      <t>"Formación efectiva en integración de ML en contextos ágiles"</t>
    </r>
    <r>
      <rPr>
        <sz val="11"/>
        <color theme="1"/>
        <rFont val="Aptos Narrow"/>
        <family val="2"/>
        <scheme val="minor"/>
      </rPr>
      <t xml:space="preserve"> y </t>
    </r>
    <r>
      <rPr>
        <b/>
        <sz val="11"/>
        <color theme="1"/>
        <rFont val="Aptos Narrow"/>
        <family val="2"/>
        <scheme val="minor"/>
      </rPr>
      <t>"alineación con necesidades del mercado"</t>
    </r>
    <r>
      <rPr>
        <sz val="11"/>
        <color theme="1"/>
        <rFont val="Aptos Narrow"/>
        <family val="2"/>
        <scheme val="minor"/>
      </rPr>
      <t>. Es una evidencia cualitativa del éxito del curso.</t>
    </r>
  </si>
  <si>
    <r>
      <t xml:space="preserve">El estudio discute la </t>
    </r>
    <r>
      <rPr>
        <b/>
        <sz val="11"/>
        <color theme="1"/>
        <rFont val="Aptos Narrow"/>
        <family val="2"/>
        <scheme val="minor"/>
      </rPr>
      <t>"integración de ML en proyectos Scrum reales"</t>
    </r>
    <r>
      <rPr>
        <sz val="11"/>
        <color theme="1"/>
        <rFont val="Aptos Narrow"/>
        <family val="2"/>
        <scheme val="minor"/>
      </rPr>
      <t xml:space="preserve"> dentro del curso. Aborda la integración a nivel de proceso de desarrollo en un entorno simulado pero práctico, no en un ecosistema industrial.</t>
    </r>
  </si>
  <si>
    <t>Al ser un "diseño curricular", la propuesta está detallada (objetivos, proyectos, prácticas como CI/CD), lo que permite que el enfoque pedagógico sea replicado por otras instituciones académicas.</t>
  </si>
  <si>
    <t>A111</t>
  </si>
  <si>
    <t>La metodología es una "revisión bibliográfica" con "análisis estadístico" (bibliométrico). Es un enfoque de investigación secundario, sistemático y reconocido.</t>
  </si>
  <si>
    <t>No aplica. Al ser un estudio de revisión, su base son datos secundarios y, como indica la PI4, carece de "validación empírica directa".</t>
  </si>
  <si>
    <t>No aplica. El estudio no genera evidencia primaria del impacto de una solución. Sintetiza los beneficios de integrar seguridad en Scrum a partir de la literatura.</t>
  </si>
  <si>
    <t>La integración de prácticas de seguridad en el ciclo Scrum es el tema central. Se discute a nivel de proceso y se proponen flujogramas, aunque de forma conceptual a partir de la revisión.</t>
  </si>
  <si>
    <t>La reproducibilidad del método es muy alta. Al ser un análisis bibliométrico con herramientas específicas (VOSviewer, WOS), el proceso de análisis puede ser replicado por otros investigadores.</t>
  </si>
  <si>
    <t>A112</t>
  </si>
  <si>
    <t>La metodología es un "estudio aplicado con validación experimental", que incluye el desarrollo de una herramienta. Es un enfoque de investigación constructivo y riguroso.</t>
  </si>
  <si>
    <t>Se realiza una "evaluación inicial con muestras limitadas" que incluye "retroalimentación positiva de usuarios". Es una validación en un contexto realista con usuarios reales, aunque no a escala industrial.</t>
  </si>
  <si>
    <r>
      <t xml:space="preserve">Se reporta evidencia cualitativa fuerte del impacto: </t>
    </r>
    <r>
      <rPr>
        <b/>
        <sz val="11"/>
        <color theme="1"/>
        <rFont val="Aptos Narrow"/>
        <family val="2"/>
        <scheme val="minor"/>
      </rPr>
      <t>"Apoyo efectivo a líderes de proyecto"</t>
    </r>
    <r>
      <rPr>
        <sz val="11"/>
        <color theme="1"/>
        <rFont val="Aptos Narrow"/>
        <family val="2"/>
        <scheme val="minor"/>
      </rPr>
      <t xml:space="preserve"> y </t>
    </r>
    <r>
      <rPr>
        <b/>
        <sz val="11"/>
        <color theme="1"/>
        <rFont val="Aptos Narrow"/>
        <family val="2"/>
        <scheme val="minor"/>
      </rPr>
      <t>"retroalimentación positiva de usuarios"</t>
    </r>
    <r>
      <rPr>
        <sz val="11"/>
        <color theme="1"/>
        <rFont val="Aptos Narrow"/>
        <family val="2"/>
        <scheme val="minor"/>
      </rPr>
      <t xml:space="preserve">, además de la </t>
    </r>
    <r>
      <rPr>
        <b/>
        <sz val="11"/>
        <color theme="1"/>
        <rFont val="Aptos Narrow"/>
        <family val="2"/>
        <scheme val="minor"/>
      </rPr>
      <t>"mejora en estimaciones"</t>
    </r>
    <r>
      <rPr>
        <sz val="11"/>
        <color theme="1"/>
        <rFont val="Aptos Narrow"/>
        <family val="2"/>
        <scheme val="minor"/>
      </rPr>
      <t xml:space="preserve"> y </t>
    </r>
    <r>
      <rPr>
        <b/>
        <sz val="11"/>
        <color theme="1"/>
        <rFont val="Aptos Narrow"/>
        <family val="2"/>
        <scheme val="minor"/>
      </rPr>
      <t>"automatización de planificación"</t>
    </r>
    <r>
      <rPr>
        <sz val="11"/>
        <color theme="1"/>
        <rFont val="Aptos Narrow"/>
        <family val="2"/>
        <scheme val="minor"/>
      </rPr>
      <t>.</t>
    </r>
  </si>
  <si>
    <r>
      <t xml:space="preserve">La integración es un punto débil. El resumen de la PI4 es claro al señalar la </t>
    </r>
    <r>
      <rPr>
        <b/>
        <sz val="11"/>
        <color theme="1"/>
        <rFont val="Aptos Narrow"/>
        <family val="2"/>
        <scheme val="minor"/>
      </rPr>
      <t>"falta de integración con plataformas ágiles comerciales"</t>
    </r>
    <r>
      <rPr>
        <sz val="11"/>
        <color theme="1"/>
        <rFont val="Aptos Narrow"/>
        <family val="2"/>
        <scheme val="minor"/>
      </rPr>
      <t>. La herramienta, en su estado actual, es independiente.</t>
    </r>
  </si>
  <si>
    <r>
      <t xml:space="preserve">La reproducibilidad es máxima. El resumen de la PI5 indica que la herramienta es de </t>
    </r>
    <r>
      <rPr>
        <b/>
        <sz val="11"/>
        <color theme="1"/>
        <rFont val="Aptos Narrow"/>
        <family val="2"/>
        <scheme val="minor"/>
      </rPr>
      <t>"código abierto para fomentar adopción académica e industrial"</t>
    </r>
    <r>
      <rPr>
        <sz val="11"/>
        <color theme="1"/>
        <rFont val="Aptos Narrow"/>
        <family val="2"/>
        <scheme val="minor"/>
      </rPr>
      <t>, lo que permite una replicación y validación completas por parte de terceros.</t>
    </r>
  </si>
  <si>
    <t>A113</t>
  </si>
  <si>
    <t>La metodología es una "revisión bibliográfica" con una "propuesta conceptual". Es un enfoque de investigación secundario válido, aunque menos riguroso que una revisión sistemática formal.</t>
  </si>
  <si>
    <t>No aplica. Al ser un estudio de revisión, su propósito es analizar la literatura. La PI4 confirma la "falta de validación empírica en casos reales".</t>
  </si>
  <si>
    <t>No aplica. El trabajo no genera evidencia primaria del impacto de una solución. Sintetiza los beneficios de los modelos que revisa (ej. "Mejora en la precisión al seleccionar").</t>
  </si>
  <si>
    <t>La reproducibilidad del método de revisión y clasificación es moderada. El enfoque conceptual puede ser comprendido y aplicado por otros, aunque no sigue el protocolo estricto de un SLR.</t>
  </si>
  <si>
    <t>A116</t>
  </si>
  <si>
    <t>La metodología es una "experiencia educativa aplicada" en formato de "estudio de caso". Es un enfoque sistemático y reconocido en la investigación pedagógica.</t>
  </si>
  <si>
    <r>
      <t xml:space="preserve">La validación se realiza en un </t>
    </r>
    <r>
      <rPr>
        <b/>
        <sz val="11"/>
        <color theme="1"/>
        <rFont val="Aptos Narrow"/>
        <family val="2"/>
        <scheme val="minor"/>
      </rPr>
      <t>contexto educativo</t>
    </r>
    <r>
      <rPr>
        <sz val="11"/>
        <color theme="1"/>
        <rFont val="Aptos Narrow"/>
        <family val="2"/>
        <scheme val="minor"/>
      </rPr>
      <t xml:space="preserve"> con estudiantes de pregrado. Según nuestra rúbrica, este tipo de validación tiene una puntuación baja en comparación con los contextos de proyectos industriales. La PI4 confirma la "falta de validación en contextos profesionales".</t>
    </r>
  </si>
  <si>
    <r>
      <t xml:space="preserve">Se reporta evidencia de impacto cualitativo en el ámbito del aprendizaje: </t>
    </r>
    <r>
      <rPr>
        <b/>
        <sz val="11"/>
        <color theme="1"/>
        <rFont val="Aptos Narrow"/>
        <family val="2"/>
        <scheme val="minor"/>
      </rPr>
      <t>"Satisfacción general con el enfoque"</t>
    </r>
    <r>
      <rPr>
        <sz val="11"/>
        <color theme="1"/>
        <rFont val="Aptos Narrow"/>
        <family val="2"/>
        <scheme val="minor"/>
      </rPr>
      <t xml:space="preserve"> y </t>
    </r>
    <r>
      <rPr>
        <b/>
        <sz val="11"/>
        <color theme="1"/>
        <rFont val="Aptos Narrow"/>
        <family val="2"/>
        <scheme val="minor"/>
      </rPr>
      <t>"desarrollo de habilidades técnicas y blandas"</t>
    </r>
    <r>
      <rPr>
        <sz val="11"/>
        <color theme="1"/>
        <rFont val="Aptos Narrow"/>
        <family val="2"/>
        <scheme val="minor"/>
      </rPr>
      <t>. Es una evidencia relevante para su contexto.</t>
    </r>
  </si>
  <si>
    <r>
      <t xml:space="preserve">El estudio integra la </t>
    </r>
    <r>
      <rPr>
        <b/>
        <sz val="11"/>
        <color theme="1"/>
        <rFont val="Aptos Narrow"/>
        <family val="2"/>
        <scheme val="minor"/>
      </rPr>
      <t>metodología Scrum</t>
    </r>
    <r>
      <rPr>
        <sz val="11"/>
        <color theme="1"/>
        <rFont val="Aptos Narrow"/>
        <family val="2"/>
        <scheme val="minor"/>
      </rPr>
      <t xml:space="preserve"> en el flujo de trabajo de los proyectos del curso. Aborda la integración a nivel de proceso de desarrollo en un entorno práctico, aunque sea académico.</t>
    </r>
  </si>
  <si>
    <t>Al ser una "experiencia educativa aplicada", se asume que el diseño del curso y la aplicación de las metodologías están lo suficientemente detallados como para ser replicados por otros educadores.</t>
  </si>
  <si>
    <t>A117</t>
  </si>
  <si>
    <t>La metodología es una "propuesta metodológica" que incluye una "validación experimental". Es un enfoque de investigación cuantitativo, riguroso y sistemático.</t>
  </si>
  <si>
    <t>La validación se realiza sobre un "dataset real" de historias de usuario. Es un contexto realista y relevante, probablemente basado en proyectos de código abierto, aunque la PI4 señala la "falta de generalización a proyectos industriales".</t>
  </si>
  <si>
    <r>
      <t xml:space="preserve">Se proporciona evidencia cuantitativa explícita de impacto: </t>
    </r>
    <r>
      <rPr>
        <b/>
        <sz val="11"/>
        <color theme="1"/>
        <rFont val="Aptos Narrow"/>
        <family val="2"/>
        <scheme val="minor"/>
      </rPr>
      <t>"Elevada precisión frente a modelos base (reducción de MAE, mejora de SA)"</t>
    </r>
    <r>
      <rPr>
        <sz val="11"/>
        <color theme="1"/>
        <rFont val="Aptos Narrow"/>
        <family val="2"/>
        <scheme val="minor"/>
      </rPr>
      <t>. El impacto está claramente medido y demostrado.</t>
    </r>
  </si>
  <si>
    <t>El estudio se centra en el modelo de estimación y su precisión, pero el resumen no indica que se discuta la integración de esta solución en herramientas de gestión de proyectos como Jira.</t>
  </si>
  <si>
    <t>La reproducibilidad es alta. El estudio detalla la arquitectura del modelo propuesto (LD-RNN: LSTM+RHN) y su método de validación experimental, lo que facilita su replicación por otros investigadores.</t>
  </si>
  <si>
    <t>A118</t>
  </si>
  <si>
    <t>No aplica. Al ser un estudio secundario, su propósito es analizar la literatura. La PI4 incluso señala la "carencia de validación en entornos ágiles" como una limitación en los estudios que revisa.</t>
  </si>
  <si>
    <t>No aplica. El trabajo no genera evidencia primaria sobre el impacto de una solución. Su contribución es resumir los beneficios reportados por otros estudios (ej. "mejora de precisión").</t>
  </si>
  <si>
    <t>A119</t>
  </si>
  <si>
    <t>El estudio es una "Revisión Sistemática" de 110 artículos, lo que por definición sigue una metodología de investigación explícita, rigurosa y sistemática.</t>
  </si>
  <si>
    <t>No aplica. El trabajo no genera evidencia primaria sobre el impacto de una solución. Su contribución es sintetizar los beneficios reportados por otros estudios (ej. "mejora en precisión").</t>
  </si>
  <si>
    <t>A121</t>
  </si>
  <si>
    <t>La metodología es un "diseño conceptual" que se acompaña de un "estudio experimental". Es un enfoque de investigación constructivo y sistemático.</t>
  </si>
  <si>
    <t>La validación utiliza herramientas estándar de la industria (Selenium, SpecFlow) en un contexto de CI/CD. Es un entorno de proyecto realista, aunque no se especifica si es industrial o de código abierto.</t>
  </si>
  <si>
    <r>
      <t xml:space="preserve">Se reporta evidencia de impacto en el proceso de testing: </t>
    </r>
    <r>
      <rPr>
        <b/>
        <sz val="11"/>
        <color theme="1"/>
        <rFont val="Aptos Narrow"/>
        <family val="2"/>
        <scheme val="minor"/>
      </rPr>
      <t>"Reducción de esfuerzo manual"</t>
    </r>
    <r>
      <rPr>
        <sz val="11"/>
        <color theme="1"/>
        <rFont val="Aptos Narrow"/>
        <family val="2"/>
        <scheme val="minor"/>
      </rPr>
      <t xml:space="preserve"> y </t>
    </r>
    <r>
      <rPr>
        <b/>
        <sz val="11"/>
        <color theme="1"/>
        <rFont val="Aptos Narrow"/>
        <family val="2"/>
        <scheme val="minor"/>
      </rPr>
      <t>"mejora en calidad y precisión del testing"</t>
    </r>
    <r>
      <rPr>
        <sz val="11"/>
        <color theme="1"/>
        <rFont val="Aptos Narrow"/>
        <family val="2"/>
        <scheme val="minor"/>
      </rPr>
      <t>. Al ser un estudio experimental, se asume que esta evidencia está respaldada por datos.</t>
    </r>
  </si>
  <si>
    <r>
      <t xml:space="preserve">La integración es un pilar del estudio. Se menciona explícitamente la </t>
    </r>
    <r>
      <rPr>
        <b/>
        <sz val="11"/>
        <color theme="1"/>
        <rFont val="Aptos Narrow"/>
        <family val="2"/>
        <scheme val="minor"/>
      </rPr>
      <t>"integración fluida con DevOps y CI/CD"</t>
    </r>
    <r>
      <rPr>
        <sz val="11"/>
        <color theme="1"/>
        <rFont val="Aptos Narrow"/>
        <family val="2"/>
        <scheme val="minor"/>
      </rPr>
      <t>, lo que demuestra un enfoque total en el ecosistema de herramientas ágiles.</t>
    </r>
  </si>
  <si>
    <t>La reproducibilidad es máxima. El estudio detalla las herramientas específicas utilizadas (Applitools, Selenium, etc.) y las prácticas (Gherkin, BDD), lo que permite que el experimento sea replicado por otros investigadores.</t>
  </si>
  <si>
    <t>A122</t>
  </si>
  <si>
    <t>No aplica. El trabajo no genera evidencia primaria sobre el impacto de una solución. Su contribución es resumir los beneficios reportados por otros estudios (ej. "reducción de errores (hasta 54.6%)").</t>
  </si>
  <si>
    <t>A123</t>
  </si>
  <si>
    <t>No aplica. El trabajo no genera evidencia primaria sobre el impacto de una solución. Su contribución es resumir los beneficios reportados por otros estudios (ej. "Mejora de trazabilidad").</t>
  </si>
  <si>
    <t>No aplica. El resultado del estudio es un documento de revisión. La PI4 incluso identifica la "falta de herramientas maduras" como una brecha en el campo.</t>
  </si>
  <si>
    <t>A124</t>
  </si>
  <si>
    <t>La metodología es un "estudio experimental" con "validación comparativa", lo que representa un enfoque de investigación riguroso y sistemático.</t>
  </si>
  <si>
    <r>
      <t xml:space="preserve">La validación se realiza en un </t>
    </r>
    <r>
      <rPr>
        <b/>
        <sz val="11"/>
        <color theme="1"/>
        <rFont val="Aptos Narrow"/>
        <family val="2"/>
        <scheme val="minor"/>
      </rPr>
      <t>contexto educativo</t>
    </r>
    <r>
      <rPr>
        <sz val="11"/>
        <color theme="1"/>
        <rFont val="Aptos Narrow"/>
        <family val="2"/>
        <scheme val="minor"/>
      </rPr>
      <t xml:space="preserve"> ("actividad educativa ágil"). Según nuestra rúbrica, este tipo de validación tiene una puntuación baja en comparación con los contextos de proyectos industriales o reales.</t>
    </r>
  </si>
  <si>
    <r>
      <t xml:space="preserve">Se reportan evidencias claras de impacto en el ámbito educativo: </t>
    </r>
    <r>
      <rPr>
        <b/>
        <sz val="11"/>
        <color theme="1"/>
        <rFont val="Aptos Narrow"/>
        <family val="2"/>
        <scheme val="minor"/>
      </rPr>
      <t>"Soporte a docentes, retroalimentación en tiempo real, reducción de carga manual"</t>
    </r>
    <r>
      <rPr>
        <sz val="11"/>
        <color theme="1"/>
        <rFont val="Aptos Narrow"/>
        <family val="2"/>
        <scheme val="minor"/>
      </rPr>
      <t>. Es una evidencia relevante y demostrada para su contexto específico.</t>
    </r>
  </si>
  <si>
    <r>
      <t xml:space="preserve">La integración se da a nivel de la actividad de </t>
    </r>
    <r>
      <rPr>
        <b/>
        <sz val="11"/>
        <color theme="1"/>
        <rFont val="Aptos Narrow"/>
        <family val="2"/>
        <scheme val="minor"/>
      </rPr>
      <t>Planning Poker</t>
    </r>
    <r>
      <rPr>
        <sz val="11"/>
        <color theme="1"/>
        <rFont val="Aptos Narrow"/>
        <family val="2"/>
        <scheme val="minor"/>
      </rPr>
      <t>, un proceso ágil. No se discute la integración con herramientas del ecosistema de desarrollo de software.</t>
    </r>
  </si>
  <si>
    <t>La reproducibilidad es máxima. El estudio utiliza una herramienta pública (ChatGPT-4) y un diseño experimental comparativo claro, lo que permite que sea replicado fácilmente por otros investigadores.</t>
  </si>
  <si>
    <t>A125</t>
  </si>
  <si>
    <t>La metodología es un "estudio experimental con validación cruzada", lo que representa un enfoque de investigación cuantitativo, riguroso y sistemático.</t>
  </si>
  <si>
    <r>
      <t xml:space="preserve">La validación se realiza sobre datos de </t>
    </r>
    <r>
      <rPr>
        <b/>
        <sz val="11"/>
        <color theme="1"/>
        <rFont val="Aptos Narrow"/>
        <family val="2"/>
        <scheme val="minor"/>
      </rPr>
      <t>"26 proyectos ágiles open-source"</t>
    </r>
    <r>
      <rPr>
        <sz val="11"/>
        <color theme="1"/>
        <rFont val="Aptos Narrow"/>
        <family val="2"/>
        <scheme val="minor"/>
      </rPr>
      <t>. Es un contexto de proyecto real y relevante, que cumple con el estándar de validación sobre datos de código abierto.</t>
    </r>
  </si>
  <si>
    <r>
      <t xml:space="preserve">Se proporciona evidencia cuantitativa explícita y de alto impacto: </t>
    </r>
    <r>
      <rPr>
        <b/>
        <sz val="11"/>
        <color theme="1"/>
        <rFont val="Aptos Narrow"/>
        <family val="2"/>
        <scheme val="minor"/>
      </rPr>
      <t>"Mejora de precisión en MAE/MdAE respecto a métodos tradicionales"</t>
    </r>
    <r>
      <rPr>
        <sz val="11"/>
        <color theme="1"/>
        <rFont val="Aptos Narrow"/>
        <family val="2"/>
        <scheme val="minor"/>
      </rPr>
      <t xml:space="preserve"> y un </t>
    </r>
    <r>
      <rPr>
        <b/>
        <sz val="11"/>
        <color theme="1"/>
        <rFont val="Aptos Narrow"/>
        <family val="2"/>
        <scheme val="minor"/>
      </rPr>
      <t>"SA=93%"</t>
    </r>
    <r>
      <rPr>
        <sz val="11"/>
        <color theme="1"/>
        <rFont val="Aptos Narrow"/>
        <family val="2"/>
        <scheme val="minor"/>
      </rPr>
      <t>. El impacto está claramente medido y demostrado.</t>
    </r>
  </si>
  <si>
    <t>El estudio se centra en la precisión del modelo de estimación, pero el resumen no indica que se discuta la integración de esta solución en herramientas de gestión de proyectos o flujos de trabajo ágiles.</t>
  </si>
  <si>
    <t>La reproducibilidad es máxima. El uso de un dataset de proyectos open-source y la descripción de un método experimental claro con técnicas específicas (SBERT, LightGBM) permiten una replicación directa del estudio.</t>
  </si>
  <si>
    <t>A126</t>
  </si>
  <si>
    <t>La metodología es una "propuesta metodológica" que incluye una "evaluación experimental" a gran escala (40 proyectos). Es un enfoque de investigación constructivo y muy riguroso.</t>
  </si>
  <si>
    <r>
      <t xml:space="preserve">La validación se realiza mediante el desarrollo de </t>
    </r>
    <r>
      <rPr>
        <b/>
        <sz val="11"/>
        <color theme="1"/>
        <rFont val="Aptos Narrow"/>
        <family val="2"/>
        <scheme val="minor"/>
      </rPr>
      <t>"40 proyectos web"</t>
    </r>
    <r>
      <rPr>
        <sz val="11"/>
        <color theme="1"/>
        <rFont val="Aptos Narrow"/>
        <family val="2"/>
        <scheme val="minor"/>
      </rPr>
      <t>. Es una validación en un contexto de proyecto real y práctico de gran alcance, un paso más allá de un simple laboratorio.</t>
    </r>
  </si>
  <si>
    <r>
      <t xml:space="preserve">Se reportan evidencias claras de impacto en el producto y el proceso: </t>
    </r>
    <r>
      <rPr>
        <b/>
        <sz val="11"/>
        <color theme="1"/>
        <rFont val="Aptos Narrow"/>
        <family val="2"/>
        <scheme val="minor"/>
      </rPr>
      <t>"Aumento de precisión semántica en la generación de código"</t>
    </r>
    <r>
      <rPr>
        <sz val="11"/>
        <color theme="1"/>
        <rFont val="Aptos Narrow"/>
        <family val="2"/>
        <scheme val="minor"/>
      </rPr>
      <t xml:space="preserve">, </t>
    </r>
    <r>
      <rPr>
        <b/>
        <sz val="11"/>
        <color theme="1"/>
        <rFont val="Aptos Narrow"/>
        <family val="2"/>
        <scheme val="minor"/>
      </rPr>
      <t>"retroalimentación inmediata"</t>
    </r>
    <r>
      <rPr>
        <sz val="11"/>
        <color theme="1"/>
        <rFont val="Aptos Narrow"/>
        <family val="2"/>
        <scheme val="minor"/>
      </rPr>
      <t xml:space="preserve"> y </t>
    </r>
    <r>
      <rPr>
        <b/>
        <sz val="11"/>
        <color theme="1"/>
        <rFont val="Aptos Narrow"/>
        <family val="2"/>
        <scheme val="minor"/>
      </rPr>
      <t>"mayor satisfacción del usuario"</t>
    </r>
    <r>
      <rPr>
        <sz val="11"/>
        <color theme="1"/>
        <rFont val="Aptos Narrow"/>
        <family val="2"/>
        <scheme val="minor"/>
      </rPr>
      <t>.</t>
    </r>
  </si>
  <si>
    <r>
      <t xml:space="preserve">La integración es un pilar del estudio. El framework propuesto (AgileGen) utiliza </t>
    </r>
    <r>
      <rPr>
        <b/>
        <sz val="11"/>
        <color theme="1"/>
        <rFont val="Aptos Narrow"/>
        <family val="2"/>
        <scheme val="minor"/>
      </rPr>
      <t>lenguaje Gherkin y herramientas BDD</t>
    </r>
    <r>
      <rPr>
        <sz val="11"/>
        <color theme="1"/>
        <rFont val="Aptos Narrow"/>
        <family val="2"/>
        <scheme val="minor"/>
      </rPr>
      <t xml:space="preserve"> como un puente explícito entre los requisitos y el código, demostrando una integración profunda en el ecosistema ágil.</t>
    </r>
  </si>
  <si>
    <t>Al presentar un framework específico (AgileGen) y una evaluación experimental detallada, se asume que la propuesta está descrita con un alto nivel de detalle, lo que facilita su reproducibilidad conceptual y metodológica.</t>
  </si>
  <si>
    <t>A129</t>
  </si>
  <si>
    <t>La metodología es un "estudio experimental aplicado" que utiliza un enfoque de IA interpretable (XAI). Es un enfoque de investigación cuantitativo, moderno y muy riguroso.</t>
  </si>
  <si>
    <r>
      <t xml:space="preserve">La validación se realiza sobre un conjunto de datos masivo de </t>
    </r>
    <r>
      <rPr>
        <b/>
        <sz val="11"/>
        <color theme="1"/>
        <rFont val="Aptos Narrow"/>
        <family val="2"/>
        <scheme val="minor"/>
      </rPr>
      <t>"98 proyectos ágiles reales"</t>
    </r>
    <r>
      <rPr>
        <sz val="11"/>
        <color theme="1"/>
        <rFont val="Aptos Narrow"/>
        <family val="2"/>
        <scheme val="minor"/>
      </rPr>
      <t>. Es un contexto de aplicación práctico y a gran escala, lo que le da una alta validez.</t>
    </r>
  </si>
  <si>
    <r>
      <t xml:space="preserve">Se reporta evidencia clara de impacto en la gestión de proyectos: </t>
    </r>
    <r>
      <rPr>
        <b/>
        <sz val="11"/>
        <color theme="1"/>
        <rFont val="Aptos Narrow"/>
        <family val="2"/>
        <scheme val="minor"/>
      </rPr>
      <t>"Identificación temprana de desviaciones"</t>
    </r>
    <r>
      <rPr>
        <sz val="11"/>
        <color theme="1"/>
        <rFont val="Aptos Narrow"/>
        <family val="2"/>
        <scheme val="minor"/>
      </rPr>
      <t xml:space="preserve"> y </t>
    </r>
    <r>
      <rPr>
        <b/>
        <sz val="11"/>
        <color theme="1"/>
        <rFont val="Aptos Narrow"/>
        <family val="2"/>
        <scheme val="minor"/>
      </rPr>
      <t>"mejora en toma de decisiones"</t>
    </r>
    <r>
      <rPr>
        <sz val="11"/>
        <color theme="1"/>
        <rFont val="Aptos Narrow"/>
        <family val="2"/>
        <scheme val="minor"/>
      </rPr>
      <t xml:space="preserve">. Además, la </t>
    </r>
    <r>
      <rPr>
        <b/>
        <sz val="11"/>
        <color theme="1"/>
        <rFont val="Aptos Narrow"/>
        <family val="2"/>
        <scheme val="minor"/>
      </rPr>
      <t>"transparencia gracias a SHAP"</t>
    </r>
    <r>
      <rPr>
        <sz val="11"/>
        <color theme="1"/>
        <rFont val="Aptos Narrow"/>
        <family val="2"/>
        <scheme val="minor"/>
      </rPr>
      <t xml:space="preserve"> es un beneficio de calidad en sí mismo.</t>
    </r>
  </si>
  <si>
    <t>La solución está diseñada para el "monitoreo del avance ágil" utilizando métricas de desempeño. Se integra directamente en el flujo de trabajo de la gestión y el control de proyectos ágiles.</t>
  </si>
  <si>
    <t>La reproducibilidad es moderada. Aunque el estudio es muy específico en sus técnicas (XGBoost, SHAP), es probable que el conjunto de datos de 98 proyectos sea privado, lo que dificulta una replicación directa del experimento.</t>
  </si>
  <si>
    <t>A132</t>
  </si>
  <si>
    <t>La metodología es una "revisión teórica", un enfoque válido para sintetizar un campo, aunque menos riguroso que una revisión sistemática con un protocolo explícito.</t>
  </si>
  <si>
    <t>No aplica. Al ser un estudio de revisión, no presenta una validación propia. La PI4 confirma la "carencia de estudios de caso o evidencia en entornos ágiles reales".</t>
  </si>
  <si>
    <t>No aplica. El trabajo no genera evidencia primaria del impacto de una solución. Su contribución es resumir los beneficios reportados por otros estudios (ej. "Mayor eficiencia operativa").</t>
  </si>
  <si>
    <t>Se discute la integración de la IA en la gestión de proyectos y se "sugiere aplicabilidad en Scrum", pero a un nivel conceptual y sin detalles técnicos.</t>
  </si>
  <si>
    <t>Al ser un artículo de revisión teórica y descriptiva, no presenta un método o artefacto reproducible, más allá de la propia línea argumental.</t>
  </si>
  <si>
    <t>A133</t>
  </si>
  <si>
    <t>La metodología es un "estudio bibliométrico y de revisión sistemática", un enfoque de investigación secundario que es explícito, riguroso y sistemático.</t>
  </si>
  <si>
    <t>No aplica. Al ser un estudio secundario, su propósito es analizar la producción científica, no proponer y validar una solución propia en un contexto real.</t>
  </si>
  <si>
    <t>No aplica. El trabajo no genera evidencia primaria sobre el impacto de una solución. Su contribución es identificar la evolución de la investigación en el campo.</t>
  </si>
  <si>
    <t>No aplica. El resultado del estudio es un documento de análisis, no una herramienta que requiera ser integrada en un ecosistema.</t>
  </si>
  <si>
    <t>La reproducibilidad del método de un estudio bibliométrico es un pilar fundamental. Se asume que el estudio detalla su protocolo de búsqueda y método de análisis, permitiendo que la investigación sea replicada.</t>
  </si>
  <si>
    <t>A135</t>
  </si>
  <si>
    <t>El estudio es una "Revisión Sistemática de Literatura", una de las metodologías de investigación secundaria más rigurosas y sistemáticas. La matriz lo califica como "bien estructurado, metodología clara".</t>
  </si>
  <si>
    <t>No aplica. El trabajo no genera evidencia primaria sobre el impacto de una solución. Su contribución es resumir los beneficios reportados por otros estudios (ej. "Mejora de eficiencia en decisiones").</t>
  </si>
  <si>
    <t>No aplica. El resultado del estudio es un documento de revisión. La PI4 incluso identifica la "falta de herramientas ampliamente adoptadas" como una brecha en el campo.</t>
  </si>
  <si>
    <t>A136</t>
  </si>
  <si>
    <t>La metodología es el "desarrollo de una herramienta", un enfoque de investigación constructivo y sistemático para proponer y demostrar una nueva solución técnica.</t>
  </si>
  <si>
    <t>La validación de la herramienta parece ser a nivel de prueba de concepto. La PI4 señala que "no se reportan estudios comparativos amplios", lo que sugiere una validación en un entorno controlado, no industrial.</t>
  </si>
  <si>
    <r>
      <t xml:space="preserve">Se reporta evidencia clara de impacto en el proceso de testing: </t>
    </r>
    <r>
      <rPr>
        <b/>
        <sz val="11"/>
        <color theme="1"/>
        <rFont val="Aptos Narrow"/>
        <family val="2"/>
        <scheme val="minor"/>
      </rPr>
      <t>"Reduce esfuerzo manual, acelera ciclos de prueba, mejora precisión y trazabilidad"</t>
    </r>
    <r>
      <rPr>
        <sz val="11"/>
        <color theme="1"/>
        <rFont val="Aptos Narrow"/>
        <family val="2"/>
        <scheme val="minor"/>
      </rPr>
      <t>. Al presentar una herramienta, se asume que estos beneficios se demuestran.</t>
    </r>
  </si>
  <si>
    <r>
      <t xml:space="preserve">El punto débil de la propuesta. La PI4 indica explícitamente la </t>
    </r>
    <r>
      <rPr>
        <b/>
        <sz val="11"/>
        <color theme="1"/>
        <rFont val="Aptos Narrow"/>
        <family val="2"/>
        <scheme val="minor"/>
      </rPr>
      <t>"falta de integración con herramientas industriales estándar"</t>
    </r>
    <r>
      <rPr>
        <sz val="11"/>
        <color theme="1"/>
        <rFont val="Aptos Narrow"/>
        <family val="2"/>
        <scheme val="minor"/>
      </rPr>
      <t>, lo que significa que la herramienta se presenta de forma aislada y no integrada en el ecosistema ágil.</t>
    </r>
  </si>
  <si>
    <t>La reproducibilidad es moderada. El artículo describe una herramienta específica (Enjisst) y su enfoque (NLP), lo que permite una reimplementación conceptual. Sin embargo, no se menciona si la herramienta es de código abierto.</t>
  </si>
  <si>
    <t>A142</t>
  </si>
  <si>
    <t>La metodología es un "estudio experimental" que incluye una "propuesta de modelo híbrido" y una "comparación con métodos tradicionales". Es un enfoque de investigación cuantitativo y muy riguroso.</t>
  </si>
  <si>
    <r>
      <t xml:space="preserve">La validación se realiza a nivel de experimentación con datos, pero la PI4 es clara al señalar que </t>
    </r>
    <r>
      <rPr>
        <b/>
        <sz val="11"/>
        <color theme="1"/>
        <rFont val="Aptos Narrow"/>
        <family val="2"/>
        <scheme val="minor"/>
      </rPr>
      <t>"requiere validación con equipos reales"</t>
    </r>
    <r>
      <rPr>
        <sz val="11"/>
        <color theme="1"/>
        <rFont val="Aptos Narrow"/>
        <family val="2"/>
        <scheme val="minor"/>
      </rPr>
      <t>. El contexto no es un proyecto industrial en vivo, sino un entorno controlado.</t>
    </r>
  </si>
  <si>
    <r>
      <t xml:space="preserve">Se proporciona evidencia cuantitativa y comparativa de impacto: </t>
    </r>
    <r>
      <rPr>
        <b/>
        <sz val="11"/>
        <color theme="1"/>
        <rFont val="Aptos Narrow"/>
        <family val="2"/>
        <scheme val="minor"/>
      </rPr>
      <t>"Reducción del esfuerzo manual, mejora en la precisión y velocidad de priorización"</t>
    </r>
    <r>
      <rPr>
        <sz val="11"/>
        <color theme="1"/>
        <rFont val="Aptos Narrow"/>
        <family val="2"/>
        <scheme val="minor"/>
      </rPr>
      <t>. El impacto está claramente medido y demostrado en el experimento.</t>
    </r>
  </si>
  <si>
    <t>El estudio se enfoca en el modelo de priorización en sí mismo. El resumen no indica que se discuta la integración de esta solución en herramientas de gestión de backlog como Jira.</t>
  </si>
  <si>
    <t>La reproducibilidad es alta. El estudio detalla el modelo híbrido (K-means, Naive Bayes, NLP) y su método de validación experimental, lo que facilita su replicación por otros investigadores.</t>
  </si>
  <si>
    <t>A143</t>
  </si>
  <si>
    <t>No aplica. Al ser un estudio secundario, su propósito es analizar la literatura. La PI4 confirma que "no se evalúa en proyectos ágiles reales".</t>
  </si>
  <si>
    <t>No aplica. El trabajo no genera evidencia primaria sobre el impacto de una solución. Su contribución es establecer "criterios de calidad" a partir de la literatura.</t>
  </si>
  <si>
    <t>No aplica. El resultado es un documento de revisión. La PI4 incluso señala que "carece de herramientas directamente aplicadas a Scrum/Kanban".</t>
  </si>
  <si>
    <t>A145</t>
  </si>
  <si>
    <t>El tipo de estudio es "Empírico / Experimental", lo que indica una metodología de investigación rigurosa y sistemática para evaluar una técnica.</t>
  </si>
  <si>
    <t>La validación se realiza sobre "historias de usuario", un artefacto central en el desarrollo ágil. Es un contexto de proyecto realista, aunque probablemente en un entorno experimental controlado.</t>
  </si>
  <si>
    <r>
      <t xml:space="preserve">Se proporciona evidencia de impacto clara y comparativa: </t>
    </r>
    <r>
      <rPr>
        <b/>
        <sz val="11"/>
        <color theme="1"/>
        <rFont val="Aptos Narrow"/>
        <family val="2"/>
        <scheme val="minor"/>
      </rPr>
      <t>"Mejora en claridad, estructura y adecuación al backlog comparado con historias manuales"</t>
    </r>
    <r>
      <rPr>
        <sz val="11"/>
        <color theme="1"/>
        <rFont val="Aptos Narrow"/>
        <family val="2"/>
        <scheme val="minor"/>
      </rPr>
      <t>. El impacto está medido y demostrado.</t>
    </r>
  </si>
  <si>
    <t>El estudio se centra en la técnica de "prompt engineering" para la generación de historias, pero el resumen no indica que se discuta la integración de este proceso en herramientas de gestión de backlog como Jira.</t>
  </si>
  <si>
    <t>La reproducibilidad es máxima. El uso de herramientas públicas (modelos OpenAI) y una técnica específica (prompt engineering) en un marco experimental permite que otros investigadores repliquen el estudio.</t>
  </si>
  <si>
    <t>A147</t>
  </si>
  <si>
    <t>La metodología es un "Estudio de caso empírico", un enfoque de investigación cualitativo riguroso y sistemático, ideal para analizar fenómenos en su contexto natural.</t>
  </si>
  <si>
    <t>El estudio se desarrolla en un contexto real y complejo (gestión de la cadena de suministro). Aunque no es desarrollo de software puro, es un entorno industrial donde se aplican "ciclos ágiles de gestión", lo que le da una alta validez.</t>
  </si>
  <si>
    <r>
      <t xml:space="preserve">Se reporta evidencia clara de impacto en la calidad del proceso de decisión: </t>
    </r>
    <r>
      <rPr>
        <b/>
        <sz val="11"/>
        <color theme="1"/>
        <rFont val="Aptos Narrow"/>
        <family val="2"/>
        <scheme val="minor"/>
      </rPr>
      <t>"Mejora en la transparencia, trazabilidad y confiabilidad"</t>
    </r>
    <r>
      <rPr>
        <sz val="11"/>
        <color theme="1"/>
        <rFont val="Aptos Narrow"/>
        <family val="2"/>
        <scheme val="minor"/>
      </rPr>
      <t>. Es una evidencia cualitativa fuerte basada en un caso real.</t>
    </r>
  </si>
  <si>
    <t>La propuesta se integra en el "ciclo ágil de gestión de la cadena de suministro", enfocándose en el flujo de trabajo de la toma de decisiones. No se detalla la integración con herramientas técnicas del ecosistema de software.</t>
  </si>
  <si>
    <t>La reproducibilidad es baja. Al ser un estudio de caso en un dominio específico, es muy probable que los datos y los procesos de negocio sean privados, lo que dificulta la replicación del estudio.</t>
  </si>
  <si>
    <t>A148</t>
  </si>
  <si>
    <t>La metodología es "exploratoria / cualitativa", un enfoque de investigación sistemático y apropiado para investigar nuevas formas de interacción humano-IA en su etapa inicial.</t>
  </si>
  <si>
    <r>
      <t xml:space="preserve">El estudio se aplica en el contexto de </t>
    </r>
    <r>
      <rPr>
        <b/>
        <sz val="11"/>
        <color theme="1"/>
        <rFont val="Aptos Narrow"/>
        <family val="2"/>
        <scheme val="minor"/>
      </rPr>
      <t>"reuniones ágiles (Scrum diario, revisión, retrospectiva)"</t>
    </r>
    <r>
      <rPr>
        <sz val="11"/>
        <color theme="1"/>
        <rFont val="Aptos Narrow"/>
        <family val="2"/>
        <scheme val="minor"/>
      </rPr>
      <t>. Es un contexto de proceso real, aunque probablemente en un entorno experimental o de prueba piloto.</t>
    </r>
  </si>
  <si>
    <r>
      <t xml:space="preserve">Se reporta evidencia cualitativa de impacto en el proceso: </t>
    </r>
    <r>
      <rPr>
        <b/>
        <sz val="11"/>
        <color theme="1"/>
        <rFont val="Aptos Narrow"/>
        <family val="2"/>
        <scheme val="minor"/>
      </rPr>
      <t>"Mejoras en organización, seguimiento y documentación colaborativa"</t>
    </r>
    <r>
      <rPr>
        <sz val="11"/>
        <color theme="1"/>
        <rFont val="Aptos Narrow"/>
        <family val="2"/>
        <scheme val="minor"/>
      </rPr>
      <t>. Son beneficios observados en el estudio exploratorio.</t>
    </r>
  </si>
  <si>
    <t>La propuesta consiste en un "asistente de reunión" para Scrum. La integración de esta herramienta en el flujo de trabajo colaborativo del equipo ágil es el núcleo de la investigación.</t>
  </si>
  <si>
    <t>La reproducibilidad es moderada. Aunque el concepto de usar un LLM personalizado es claro, al ser un estudio cualitativo y exploratorio, los resultados específicos dependen del contexto del equipo y las interacciones, lo que dificulta una réplica exacta.</t>
  </si>
  <si>
    <t>A149</t>
  </si>
  <si>
    <t>La metodología es "exploratoria / cualitativa", un enfoque de investigación sistemático y adecuado para analizar el impacto y las percepciones de una nueva tecnología.</t>
  </si>
  <si>
    <t>El estudio analiza el impacto de herramientas como ChatGPT y Copilot en las "prácticas ágiles modernas". Es un contexto de aplicación real, aunque la validación es a través de la observación y el análisis cualitativo, no de un caso industrial formal.</t>
  </si>
  <si>
    <r>
      <t xml:space="preserve">Se proporciona </t>
    </r>
    <r>
      <rPr>
        <b/>
        <sz val="11"/>
        <color theme="1"/>
        <rFont val="Aptos Narrow"/>
        <family val="2"/>
        <scheme val="minor"/>
      </rPr>
      <t>"evidencia cualitativa sobre el impacto transformador de LLMs"</t>
    </r>
    <r>
      <rPr>
        <sz val="11"/>
        <color theme="1"/>
        <rFont val="Aptos Narrow"/>
        <family val="2"/>
        <scheme val="minor"/>
      </rPr>
      <t>. Aunque no son métricas cuantitativas, es una forma válida de evidencia de impacto para un estudio de esta naturaleza.</t>
    </r>
  </si>
  <si>
    <r>
      <t xml:space="preserve">La discusión sobre la integración es el núcleo del trabajo. Analiza cómo la IA generativa se integra en múltiples fases como </t>
    </r>
    <r>
      <rPr>
        <b/>
        <sz val="11"/>
        <color theme="1"/>
        <rFont val="Aptos Narrow"/>
        <family val="2"/>
        <scheme val="minor"/>
      </rPr>
      <t>"planeación, desarrollo, documentación y testing"</t>
    </r>
    <r>
      <rPr>
        <sz val="11"/>
        <color theme="1"/>
        <rFont val="Aptos Narrow"/>
        <family val="2"/>
        <scheme val="minor"/>
      </rPr>
      <t>, redefiniendo tareas y roles.</t>
    </r>
  </si>
  <si>
    <t>La reproducibilidad es baja. Al ser un estudio cualitativo, sus hallazgos están fuertemente ligados al contexto y a los participantes. El método de análisis se puede describir, pero replicar los resultados exactos es difícil.</t>
  </si>
  <si>
    <t>A150</t>
  </si>
  <si>
    <t>El estudio es una "revisión teórica / exploratoria". Es un enfoque válido para presentar una visión general, pero carece de la rigurosidad metodológica de una investigación empírica o una revisión sistemática.</t>
  </si>
  <si>
    <r>
      <t xml:space="preserve">El resumen de la PI4 es explícito: </t>
    </r>
    <r>
      <rPr>
        <b/>
        <sz val="11"/>
        <color theme="1"/>
        <rFont val="Aptos Narrow"/>
        <family val="2"/>
        <scheme val="minor"/>
      </rPr>
      <t>"Falta validación empírica y ejemplos concretos de aplicación real"</t>
    </r>
    <r>
      <rPr>
        <sz val="11"/>
        <color theme="1"/>
        <rFont val="Aptos Narrow"/>
        <family val="2"/>
        <scheme val="minor"/>
      </rPr>
      <t>. No se valida ninguna propuesta en un contexto práctico.</t>
    </r>
  </si>
  <si>
    <r>
      <t xml:space="preserve">Se discuten beneficios potenciales como la </t>
    </r>
    <r>
      <rPr>
        <b/>
        <sz val="11"/>
        <color theme="1"/>
        <rFont val="Aptos Narrow"/>
        <family val="2"/>
        <scheme val="minor"/>
      </rPr>
      <t>"mayor eficiencia"</t>
    </r>
    <r>
      <rPr>
        <sz val="11"/>
        <color theme="1"/>
        <rFont val="Aptos Narrow"/>
        <family val="2"/>
        <scheme val="minor"/>
      </rPr>
      <t xml:space="preserve"> y la </t>
    </r>
    <r>
      <rPr>
        <b/>
        <sz val="11"/>
        <color theme="1"/>
        <rFont val="Aptos Narrow"/>
        <family val="2"/>
        <scheme val="minor"/>
      </rPr>
      <t>"automatización"</t>
    </r>
    <r>
      <rPr>
        <sz val="11"/>
        <color theme="1"/>
        <rFont val="Aptos Narrow"/>
        <family val="2"/>
        <scheme val="minor"/>
      </rPr>
      <t>. Sin embargo, al no haber validación, son beneficios teóricos no respaldados por evidencia.</t>
    </r>
  </si>
  <si>
    <t>La discusión sobre la "integración de IA en Agile" es el tema central del artículo. Se aborda la aplicación en múltiples fases (planificación, desarrollo, pruebas) a un nivel conceptual.</t>
  </si>
  <si>
    <t>Al ser un artículo de visión general y teórico, presenta ideas y tendencias, no un método o artefacto técnico que pueda ser replicado de manera sistemática.</t>
  </si>
  <si>
    <t>A152</t>
  </si>
  <si>
    <t>La metodología es un "estudio experimental" y de "caso de estudio", lo que representa un enfoque de investigación aplicado, sistemático y riguroso.</t>
  </si>
  <si>
    <t>La propuesta se aplica a la práctica de TDD, un contexto de desarrollo real. Aunque probablemente sea un experimento controlado, la validación se realiza en un escenario práctico y relevante.</t>
  </si>
  <si>
    <r>
      <t xml:space="preserve">Se reporta evidencia clara y medible de impacto en métricas clave del desarrollo: </t>
    </r>
    <r>
      <rPr>
        <b/>
        <sz val="11"/>
        <color theme="1"/>
        <rFont val="Aptos Narrow"/>
        <family val="2"/>
        <scheme val="minor"/>
      </rPr>
      <t>"Mejora en productividad, cobertura de pruebas y velocidad de desarrollo"</t>
    </r>
    <r>
      <rPr>
        <sz val="11"/>
        <color theme="1"/>
        <rFont val="Aptos Narrow"/>
        <family val="2"/>
        <scheme val="minor"/>
      </rPr>
      <t>.</t>
    </r>
  </si>
  <si>
    <r>
      <t xml:space="preserve">La integración es el tema central. El estudio se enfoca en cómo la IA generativa se integra y </t>
    </r>
    <r>
      <rPr>
        <b/>
        <sz val="11"/>
        <color theme="1"/>
        <rFont val="Aptos Narrow"/>
        <family val="2"/>
        <scheme val="minor"/>
      </rPr>
      <t>"automatiza prácticas técnicas ágiles (TDD, CI/CD)"</t>
    </r>
    <r>
      <rPr>
        <sz val="11"/>
        <color theme="1"/>
        <rFont val="Aptos Narrow"/>
        <family val="2"/>
        <scheme val="minor"/>
      </rPr>
      <t>, afectando directamente el flujo de trabajo del desarrollador.</t>
    </r>
  </si>
  <si>
    <t>La reproducibilidad es máxima. El uso de IA generativa (una tecnología accesible) en un proceso bien definido como TDD, dentro de un marco experimental, permite que otros investigadores repliquen el estudio.</t>
  </si>
  <si>
    <t>A153</t>
  </si>
  <si>
    <t>La metodología es una combinación de "mapeo sistemático" y "estudio empírico", un enfoque mixto de investigación muy riguroso y sistemático.</t>
  </si>
  <si>
    <t>El estudio analiza el impacto de herramientas de IA en el proceso de desarrollo ágil. La parte empírica se basa en "evidencia recopilada y categorizada", lo que sugiere un análisis de la práctica en un contexto real o muy realista.</t>
  </si>
  <si>
    <r>
      <t xml:space="preserve">Se reportan evidencias claras de impacto, como </t>
    </r>
    <r>
      <rPr>
        <b/>
        <sz val="11"/>
        <color theme="1"/>
        <rFont val="Aptos Narrow"/>
        <family val="2"/>
        <scheme val="minor"/>
      </rPr>
      <t>"mejoras en productividad"</t>
    </r>
    <r>
      <rPr>
        <sz val="11"/>
        <color theme="1"/>
        <rFont val="Aptos Narrow"/>
        <family val="2"/>
        <scheme val="minor"/>
      </rPr>
      <t xml:space="preserve"> y </t>
    </r>
    <r>
      <rPr>
        <b/>
        <sz val="11"/>
        <color theme="1"/>
        <rFont val="Aptos Narrow"/>
        <family val="2"/>
        <scheme val="minor"/>
      </rPr>
      <t>"reducción de esfuerzo repetitivo"</t>
    </r>
    <r>
      <rPr>
        <sz val="11"/>
        <color theme="1"/>
        <rFont val="Aptos Narrow"/>
        <family val="2"/>
        <scheme val="minor"/>
      </rPr>
      <t>. Al provenir de un estudio empírico, esta evidencia está respaldada por datos (probablemente cualitativos).</t>
    </r>
  </si>
  <si>
    <r>
      <t xml:space="preserve">La integración es el tema central. El estudio analiza el impacto de la IA generativa en </t>
    </r>
    <r>
      <rPr>
        <b/>
        <sz val="11"/>
        <color theme="1"/>
        <rFont val="Aptos Narrow"/>
        <family val="2"/>
        <scheme val="minor"/>
      </rPr>
      <t>múltiples fases del ciclo ágil</t>
    </r>
    <r>
      <rPr>
        <sz val="11"/>
        <color theme="1"/>
        <rFont val="Aptos Narrow"/>
        <family val="2"/>
        <scheme val="minor"/>
      </rPr>
      <t xml:space="preserve"> (desarrollo, pruebas, documentación, planificación), abordando su acoplamiento con el proceso de manera holística.</t>
    </r>
  </si>
  <si>
    <t>La reproducibilidad del estudio es alta. La parte del mapeo sistemático es replicable por definición, y se asume que la parte empírica describe su método de recolección y análisis de datos, permitiendo su replicación conceptual.</t>
  </si>
  <si>
    <t>A155</t>
  </si>
  <si>
    <t>La metodología es una "propuesta conceptual" basada en una revisión teórica. Es un enfoque sistemático para la formulación de un nuevo marco de trabajo.</t>
  </si>
  <si>
    <r>
      <t xml:space="preserve">El resumen de la PI4 es explícito: </t>
    </r>
    <r>
      <rPr>
        <b/>
        <sz val="11"/>
        <color theme="1"/>
        <rFont val="Aptos Narrow"/>
        <family val="2"/>
        <scheme val="minor"/>
      </rPr>
      <t>"Propuesta conceptual sin validación empírica; requiere pruebas en escenarios reales"</t>
    </r>
    <r>
      <rPr>
        <sz val="11"/>
        <color theme="1"/>
        <rFont val="Aptos Narrow"/>
        <family val="2"/>
        <scheme val="minor"/>
      </rPr>
      <t>. No se ha validado en un contexto práctico.</t>
    </r>
  </si>
  <si>
    <r>
      <t xml:space="preserve">Se enumeran beneficios potenciales como la </t>
    </r>
    <r>
      <rPr>
        <b/>
        <sz val="11"/>
        <color theme="1"/>
        <rFont val="Aptos Narrow"/>
        <family val="2"/>
        <scheme val="minor"/>
      </rPr>
      <t>"mejora en decisiones de planificación"</t>
    </r>
    <r>
      <rPr>
        <sz val="11"/>
        <color theme="1"/>
        <rFont val="Aptos Narrow"/>
        <family val="2"/>
        <scheme val="minor"/>
      </rPr>
      <t xml:space="preserve"> y la </t>
    </r>
    <r>
      <rPr>
        <b/>
        <sz val="11"/>
        <color theme="1"/>
        <rFont val="Aptos Narrow"/>
        <family val="2"/>
        <scheme val="minor"/>
      </rPr>
      <t>"anticipación de problemas"</t>
    </r>
    <r>
      <rPr>
        <sz val="11"/>
        <color theme="1"/>
        <rFont val="Aptos Narrow"/>
        <family val="2"/>
        <scheme val="minor"/>
      </rPr>
      <t>. Al no haber validación, son beneficios teóricos no respaldados por evidencia.</t>
    </r>
  </si>
  <si>
    <r>
      <t xml:space="preserve">La integración es el tema central. La propuesta consiste en un "marco híbrido IA + Agile" diseñado para la </t>
    </r>
    <r>
      <rPr>
        <b/>
        <sz val="11"/>
        <color theme="1"/>
        <rFont val="Aptos Narrow"/>
        <family val="2"/>
        <scheme val="minor"/>
      </rPr>
      <t>"planificación y gestión de tareas"</t>
    </r>
    <r>
      <rPr>
        <sz val="11"/>
        <color theme="1"/>
        <rFont val="Aptos Narrow"/>
        <family val="2"/>
        <scheme val="minor"/>
      </rPr>
      <t>, abordando la integración a nivel de proceso de manera conceptual.</t>
    </r>
  </si>
  <si>
    <t>Al presentar un marco conceptual con componentes definidos (IA generativa + ML predictivo), se asume que la descripción es lo suficientemente detallada para que la idea sea comprendida y reimplementada teóricamente.</t>
  </si>
  <si>
    <t>A159</t>
  </si>
  <si>
    <t>La metodología combina el análisis de "casos industriales" con la derivación de un "marco conceptual". Es un enfoque de investigación cualitativo, aplicado y sistemático.</t>
  </si>
  <si>
    <r>
      <t xml:space="preserve">El estudio se basa explícitamente en </t>
    </r>
    <r>
      <rPr>
        <b/>
        <sz val="11"/>
        <color theme="1"/>
        <rFont val="Aptos Narrow"/>
        <family val="2"/>
        <scheme val="minor"/>
      </rPr>
      <t>"casos industriales"</t>
    </r>
    <r>
      <rPr>
        <sz val="11"/>
        <color theme="1"/>
        <rFont val="Aptos Narrow"/>
        <family val="2"/>
        <scheme val="minor"/>
      </rPr>
      <t>, lo que le otorga el máximo nivel de validación en un contexto de proyecto real y práctico.</t>
    </r>
  </si>
  <si>
    <r>
      <t xml:space="preserve">Se reportan beneficios observados en los casos industriales, como la </t>
    </r>
    <r>
      <rPr>
        <b/>
        <sz val="11"/>
        <color theme="1"/>
        <rFont val="Aptos Narrow"/>
        <family val="2"/>
        <scheme val="minor"/>
      </rPr>
      <t>"mejora en eficiencia, transparencia, calidad de artefactos y colaboración"</t>
    </r>
    <r>
      <rPr>
        <sz val="11"/>
        <color theme="1"/>
        <rFont val="Aptos Narrow"/>
        <family val="2"/>
        <scheme val="minor"/>
      </rPr>
      <t>. Es una evidencia cualitativa fuerte basada en la práctica.</t>
    </r>
  </si>
  <si>
    <r>
      <t xml:space="preserve">La integración es un tema central. El estudio analiza cómo las organizaciones integran la IA generativa en la </t>
    </r>
    <r>
      <rPr>
        <b/>
        <sz val="11"/>
        <color theme="1"/>
        <rFont val="Aptos Narrow"/>
        <family val="2"/>
        <scheme val="minor"/>
      </rPr>
      <t>"gestión ágil de proyectos"</t>
    </r>
    <r>
      <rPr>
        <sz val="11"/>
        <color theme="1"/>
        <rFont val="Aptos Narrow"/>
        <family val="2"/>
        <scheme val="minor"/>
      </rPr>
      <t xml:space="preserve"> y en sus artefactos (requisitos, reportes), enfocándose en un uso estructurado y controlado.</t>
    </r>
  </si>
  <si>
    <t>La reproducibilidad es baja. Al basarse en casos industriales, es muy probable que los datos y los contextos específicos de las empresas sean privados, lo que impide una replicación directa del estudio por parte de terceros.</t>
  </si>
  <si>
    <t>A160</t>
  </si>
  <si>
    <t>La metodología es una "propuesta aplicada" de patrones, con "primeros resultados". Es un enfoque de investigación constructivo y sistemático para formalizar una práctica emergente.</t>
  </si>
  <si>
    <t>La propuesta se aplica a las tareas de un "Project Manager ágil". Al presentar "primeros resultados", se infiere que se ha validado en un contexto práctico o con usuarios reales, aunque sea a nivel exploratorio.</t>
  </si>
  <si>
    <r>
      <t xml:space="preserve">Se reporta evidencia cualitativa de impacto: </t>
    </r>
    <r>
      <rPr>
        <b/>
        <sz val="11"/>
        <color theme="1"/>
        <rFont val="Aptos Narrow"/>
        <family val="2"/>
        <scheme val="minor"/>
      </rPr>
      <t>"Mejora de eficiencia, claridad de comunicación y soporte contextualizado"</t>
    </r>
    <r>
      <rPr>
        <sz val="11"/>
        <color theme="1"/>
        <rFont val="Aptos Narrow"/>
        <family val="2"/>
        <scheme val="minor"/>
      </rPr>
      <t>. Estos son los beneficios observados en la aplicación inicial de los patrones.</t>
    </r>
  </si>
  <si>
    <t>La propuesta se centra en cómo integrar el uso de LLMs en el flujo de trabajo de un Project Manager ágil para tareas como "planificación, toma de decisiones y generación de reportes". La integración en el proceso es el tema central.</t>
  </si>
  <si>
    <t>La reproducibilidad es máxima. Los "patrones de prompts" son, por definición, soluciones reutilizables. Se asume que el estudio detalla estos patrones, permitiendo que sean replicados y utilizados por otros profesionales.</t>
  </si>
  <si>
    <t>A161</t>
  </si>
  <si>
    <t>La metodología es "cualitativa" y basada en una "perspectiva industrial". Es un enfoque de investigación sistemático y válido para capturar la práctica y las percepciones del mundo real.</t>
  </si>
  <si>
    <r>
      <t xml:space="preserve">El estudio se basa explícitamente en una </t>
    </r>
    <r>
      <rPr>
        <b/>
        <sz val="11"/>
        <color theme="1"/>
        <rFont val="Aptos Narrow"/>
        <family val="2"/>
        <scheme val="minor"/>
      </rPr>
      <t>"perspectiva industrial"</t>
    </r>
    <r>
      <rPr>
        <sz val="11"/>
        <color theme="1"/>
        <rFont val="Aptos Narrow"/>
        <family val="2"/>
        <scheme val="minor"/>
      </rPr>
      <t>, lo que le otorga el máximo nivel de validación en un contexto de proyecto real y práctico.</t>
    </r>
  </si>
  <si>
    <r>
      <t xml:space="preserve">Se reportan beneficios observados en la industria, como la </t>
    </r>
    <r>
      <rPr>
        <b/>
        <sz val="11"/>
        <color theme="1"/>
        <rFont val="Aptos Narrow"/>
        <family val="2"/>
        <scheme val="minor"/>
      </rPr>
      <t>"mejora en eficiencia, toma de decisiones y uso responsable de IA"</t>
    </r>
    <r>
      <rPr>
        <sz val="11"/>
        <color theme="1"/>
        <rFont val="Aptos Narrow"/>
        <family val="2"/>
        <scheme val="minor"/>
      </rPr>
      <t>. Es una evidencia cualitativa fuerte basada en la práctica.</t>
    </r>
  </si>
  <si>
    <r>
      <t xml:space="preserve">La integración de </t>
    </r>
    <r>
      <rPr>
        <b/>
        <sz val="11"/>
        <color theme="1"/>
        <rFont val="Aptos Narrow"/>
        <family val="2"/>
        <scheme val="minor"/>
      </rPr>
      <t>"prácticas responsables de IA en metodologías ágiles"</t>
    </r>
    <r>
      <rPr>
        <sz val="11"/>
        <color theme="1"/>
        <rFont val="Aptos Narrow"/>
        <family val="2"/>
        <scheme val="minor"/>
      </rPr>
      <t xml:space="preserve"> es el tema central del estudio. Aborda cómo acoplar la gobernanza de la IA en el ciclo de vida ágil completo.</t>
    </r>
  </si>
  <si>
    <t>La reproducibilidad es baja. Al ser un estudio cualitativo basado en la perspectiva de industrias o expertos específicos, es muy probable que los datos primarios (entrevistas, etc.) sean privados y contextuales, dificultando la replicación.</t>
  </si>
  <si>
    <t>A163</t>
  </si>
  <si>
    <t>La metodología es "experimental" y una "propuesta aplicada", lo que constituye un enfoque de investigación cuantitativo, riguroso y sistemático.</t>
  </si>
  <si>
    <r>
      <t xml:space="preserve">La PI4 señala una limitación clave: los modelos requieren </t>
    </r>
    <r>
      <rPr>
        <b/>
        <sz val="11"/>
        <color theme="1"/>
        <rFont val="Aptos Narrow"/>
        <family val="2"/>
        <scheme val="minor"/>
      </rPr>
      <t>"validación en entornos reales"</t>
    </r>
    <r>
      <rPr>
        <sz val="11"/>
        <color theme="1"/>
        <rFont val="Aptos Narrow"/>
        <family val="2"/>
        <scheme val="minor"/>
      </rPr>
      <t>. Esto indica que el estudio se realizó en un entorno controlado o de laboratorio, no en un proyecto industrial.</t>
    </r>
  </si>
  <si>
    <r>
      <t xml:space="preserve">Se reporta evidencia de impacto en la gestión: </t>
    </r>
    <r>
      <rPr>
        <b/>
        <sz val="11"/>
        <color theme="1"/>
        <rFont val="Aptos Narrow"/>
        <family val="2"/>
        <scheme val="minor"/>
      </rPr>
      <t>"Mejor estimación de rendimiento"</t>
    </r>
    <r>
      <rPr>
        <sz val="11"/>
        <color theme="1"/>
        <rFont val="Aptos Narrow"/>
        <family val="2"/>
        <scheme val="minor"/>
      </rPr>
      <t xml:space="preserve"> y </t>
    </r>
    <r>
      <rPr>
        <b/>
        <sz val="11"/>
        <color theme="1"/>
        <rFont val="Aptos Narrow"/>
        <family val="2"/>
        <scheme val="minor"/>
      </rPr>
      <t>"soporte a decisiones en gestión del sprint"</t>
    </r>
    <r>
      <rPr>
        <sz val="11"/>
        <color theme="1"/>
        <rFont val="Aptos Narrow"/>
        <family val="2"/>
        <scheme val="minor"/>
      </rPr>
      <t>. Al ser un estudio experimental, se asume que esta evidencia está respaldada por los datos del experimento.</t>
    </r>
  </si>
  <si>
    <t>La propuesta se centra en la evaluación de métricas ágiles (progreso, velocidad), lo que implica una integración conceptual con el flujo de trabajo de gestión de sprints, aunque no se detalla la integración con herramientas.</t>
  </si>
  <si>
    <t>La reproducibilidad es alta. El estudio detalla las técnicas utilizadas (Random Forest, k-NN, etc.) y sigue un método experimental, lo que facilita su replicación por otros investigadores.</t>
  </si>
  <si>
    <t>A164</t>
  </si>
  <si>
    <t>La metodología es una "revisión aplicada / exploratoria", un enfoque sistemático para analizar el potencial de una tecnología en un dominio específico.</t>
  </si>
  <si>
    <t>Al ser un estudio de revisión y exploratorio, no presenta una validación propia. Analiza el potencial de la IA en contextos reales (SAFe), pero no valida una propuesta.</t>
  </si>
  <si>
    <r>
      <t xml:space="preserve">Se reportan beneficios potenciales como la </t>
    </r>
    <r>
      <rPr>
        <b/>
        <sz val="11"/>
        <color theme="1"/>
        <rFont val="Aptos Narrow"/>
        <family val="2"/>
        <scheme val="minor"/>
      </rPr>
      <t>"mejora en visibilidad"</t>
    </r>
    <r>
      <rPr>
        <sz val="11"/>
        <color theme="1"/>
        <rFont val="Aptos Narrow"/>
        <family val="2"/>
        <scheme val="minor"/>
      </rPr>
      <t xml:space="preserve"> y la </t>
    </r>
    <r>
      <rPr>
        <b/>
        <sz val="11"/>
        <color theme="1"/>
        <rFont val="Aptos Narrow"/>
        <family val="2"/>
        <scheme val="minor"/>
      </rPr>
      <t>"automatización de tareas de gestión"</t>
    </r>
    <r>
      <rPr>
        <sz val="11"/>
        <color theme="1"/>
        <rFont val="Aptos Narrow"/>
        <family val="2"/>
        <scheme val="minor"/>
      </rPr>
      <t>. Al ser una revisión, son beneficios analizados a partir de la literatura y la práctica, no de un experimento primario.</t>
    </r>
  </si>
  <si>
    <r>
      <t xml:space="preserve">La integración es un tema central. El estudio explora cómo los "asistentes inteligentes" se integrarían en las </t>
    </r>
    <r>
      <rPr>
        <b/>
        <sz val="11"/>
        <color theme="1"/>
        <rFont val="Aptos Narrow"/>
        <family val="2"/>
        <scheme val="minor"/>
      </rPr>
      <t>"fases de planificación, coordinación y soporte en SAFe"</t>
    </r>
    <r>
      <rPr>
        <sz val="11"/>
        <color theme="1"/>
        <rFont val="Aptos Narrow"/>
        <family val="2"/>
        <scheme val="minor"/>
      </rPr>
      <t>.</t>
    </r>
  </si>
  <si>
    <t>La reproducibilidad es baja. El artículo presenta un análisis de potencial y tendencias, no un método o artefacto técnico que pueda ser replicado de manera sistemática.</t>
  </si>
  <si>
    <t>A166</t>
  </si>
  <si>
    <t>La metodología es una "propuesta aplicada / técnica", un enfoque de investigación constructivo y sistemático para desarrollar y presentar una nueva solución.</t>
  </si>
  <si>
    <t>La propuesta se aplica a un problema real (validación de historias de usuario), pero el resumen no especifica si la validación se realizó en un entorno industrial. Es probable que sea una prueba de concepto en un entorno controlado.</t>
  </si>
  <si>
    <r>
      <t xml:space="preserve">Se reporta evidencia de impacto directo en la calidad de los requisitos: </t>
    </r>
    <r>
      <rPr>
        <b/>
        <sz val="11"/>
        <color theme="1"/>
        <rFont val="Aptos Narrow"/>
        <family val="2"/>
        <scheme val="minor"/>
      </rPr>
      <t>"Mejora en la calidad de requisitos, reducción de ambigüedad, automatización de revisiones"</t>
    </r>
    <r>
      <rPr>
        <sz val="11"/>
        <color theme="1"/>
        <rFont val="Aptos Narrow"/>
        <family val="2"/>
        <scheme val="minor"/>
      </rPr>
      <t>. Se asume que estos beneficios se demuestran con la propuesta aplicada.</t>
    </r>
  </si>
  <si>
    <r>
      <t xml:space="preserve">La solución está diseñada para integrarse en el flujo de trabajo de la </t>
    </r>
    <r>
      <rPr>
        <b/>
        <sz val="11"/>
        <color theme="1"/>
        <rFont val="Aptos Narrow"/>
        <family val="2"/>
        <scheme val="minor"/>
      </rPr>
      <t>"validación de historias de usuario"</t>
    </r>
    <r>
      <rPr>
        <sz val="11"/>
        <color theme="1"/>
        <rFont val="Aptos Narrow"/>
        <family val="2"/>
        <scheme val="minor"/>
      </rPr>
      <t>, una actividad central en el proceso de refinamiento del backlog ágil.</t>
    </r>
  </si>
  <si>
    <t>Al ser una "propuesta técnica" que utiliza NLP, se asume que el enfoque está descrito con suficiente detalle como para ser comprendido y reimplementado conceptualmente, aunque el código o los datos no sean públicos.</t>
  </si>
  <si>
    <t>A167</t>
  </si>
  <si>
    <t>La metodología es una "propuesta metodológica" que incluye una "arquitectura de decisión". Es un enfoque de investigación constructivo y sistemático.</t>
  </si>
  <si>
    <t>Al ser una propuesta conceptual, el resumen no reporta una validación en un entorno industrial o con datos de un proyecto real. Es un modelo teórico.</t>
  </si>
  <si>
    <r>
      <t xml:space="preserve">Se enumeran beneficios a nivel de proceso, como </t>
    </r>
    <r>
      <rPr>
        <b/>
        <sz val="11"/>
        <color theme="1"/>
        <rFont val="Aptos Narrow"/>
        <family val="2"/>
        <scheme val="minor"/>
      </rPr>
      <t>"Mayor adaptabilidad, trazabilidad y alineación metodológica"</t>
    </r>
    <r>
      <rPr>
        <sz val="11"/>
        <color theme="1"/>
        <rFont val="Aptos Narrow"/>
        <family val="2"/>
        <scheme val="minor"/>
      </rPr>
      <t>. Sin embargo, al no haber validación, no se proporciona evidencia que demuestre este impacto.</t>
    </r>
  </si>
  <si>
    <r>
      <t xml:space="preserve">La integración es el tema central del estudio. Propone un </t>
    </r>
    <r>
      <rPr>
        <b/>
        <sz val="11"/>
        <color theme="1"/>
        <rFont val="Aptos Narrow"/>
        <family val="2"/>
        <scheme val="minor"/>
      </rPr>
      <t>ciclo de vida ágil adaptado para sistemas de IA</t>
    </r>
    <r>
      <rPr>
        <sz val="11"/>
        <color theme="1"/>
        <rFont val="Aptos Narrow"/>
        <family val="2"/>
        <scheme val="minor"/>
      </rPr>
      <t>, lo que implica una discusión profunda sobre la integración de las necesidades de la IA en todo el flujo de trabajo ágil.</t>
    </r>
  </si>
  <si>
    <t>La propuesta de un "ciclo de vida" y una "arquitectura" está, por naturaleza, diseñada para ser comprendida y aplicada. Se asume que está descrita con suficiente detalle para ser reproducible conceptualmente.</t>
  </si>
  <si>
    <t>A170</t>
  </si>
  <si>
    <t>La metodología es una "reflexión práctica" de tipo conceptual. Es un enfoque sistemático para analizar y proponer ideas, aunque no es una investigación empírica.</t>
  </si>
  <si>
    <t>Al ser un estudio conceptual, no presenta una validación en un proyecto real. Se basa en la reflexión sobre la práctica, pero no la valida.</t>
  </si>
  <si>
    <r>
      <t xml:space="preserve">Se reportan beneficios a nivel de proceso, como la </t>
    </r>
    <r>
      <rPr>
        <b/>
        <sz val="11"/>
        <color theme="1"/>
        <rFont val="Aptos Narrow"/>
        <family val="2"/>
        <scheme val="minor"/>
      </rPr>
      <t>"mejora en comprensión de procesos"</t>
    </r>
    <r>
      <rPr>
        <sz val="11"/>
        <color theme="1"/>
        <rFont val="Aptos Narrow"/>
        <family val="2"/>
        <scheme val="minor"/>
      </rPr>
      <t xml:space="preserve"> y el </t>
    </r>
    <r>
      <rPr>
        <b/>
        <sz val="11"/>
        <color theme="1"/>
        <rFont val="Aptos Narrow"/>
        <family val="2"/>
        <scheme val="minor"/>
      </rPr>
      <t>"diseño de roles más adecuados"</t>
    </r>
    <r>
      <rPr>
        <sz val="11"/>
        <color theme="1"/>
        <rFont val="Aptos Narrow"/>
        <family val="2"/>
        <scheme val="minor"/>
      </rPr>
      <t>. Son beneficios teóricos derivados de la reflexión, sin evidencia empírica.</t>
    </r>
  </si>
  <si>
    <r>
      <t xml:space="preserve">La integración es el tema central. El estudio analiza el </t>
    </r>
    <r>
      <rPr>
        <b/>
        <sz val="11"/>
        <color theme="1"/>
        <rFont val="Aptos Narrow"/>
        <family val="2"/>
        <scheme val="minor"/>
      </rPr>
      <t>"impacto de la IA en la redefinición de roles y responsabilidades dentro del equipo ágil"</t>
    </r>
    <r>
      <rPr>
        <sz val="11"/>
        <color theme="1"/>
        <rFont val="Aptos Narrow"/>
        <family val="2"/>
        <scheme val="minor"/>
      </rPr>
      <t>, abordando la integración a nivel de la estructura humana y del proceso.</t>
    </r>
  </si>
  <si>
    <t>El artículo presenta reflexiones y perspectivas, no un artefacto o método técnico reproducible. Las ideas son transferibles, pero el estudio en sí no es replicable.</t>
  </si>
  <si>
    <t>A171</t>
  </si>
  <si>
    <t>La metodología es un "estudio aplicado" de tipo "caso de uso" para demostrar la eficacia de un método. Es un enfoque de investigación experimental y sistemático.</t>
  </si>
  <si>
    <t>El contexto es un proceso de investigación real (una revisión sistemática), pero no un entorno de desarrollo de software industrial o de código abierto, que es el foco de la rúbrica.</t>
  </si>
  <si>
    <r>
      <t xml:space="preserve">Se reporta evidencia clara de impacto en el proceso de investigación: </t>
    </r>
    <r>
      <rPr>
        <b/>
        <sz val="11"/>
        <color theme="1"/>
        <rFont val="Aptos Narrow"/>
        <family val="2"/>
        <scheme val="minor"/>
      </rPr>
      <t>"Mejora en eficiencia de revisión, menor sesgo manual y mayor trazabilidad"</t>
    </r>
    <r>
      <rPr>
        <sz val="11"/>
        <color theme="1"/>
        <rFont val="Aptos Narrow"/>
        <family val="2"/>
        <scheme val="minor"/>
      </rPr>
      <t>. Es una evidencia de impacto demostrada para su contexto.</t>
    </r>
  </si>
  <si>
    <t>La integración se discute a nivel del flujo de trabajo de una revisión literaria, no de un ecosistema de desarrollo de software ágil (Jira, CI/CD, etc.).</t>
  </si>
  <si>
    <t>La reproducibilidad es máxima. El estudio presenta un método para aplicar ML y NLP a una revisión, el cual está diseñado para que otros investigadores puedan replicarlo en sus propios estudios.</t>
  </si>
  <si>
    <t>A172</t>
  </si>
  <si>
    <t>La metodología es un "estudio de caso experimental aplicado", un enfoque de investigación riguroso y sistemático para validar una propuesta en un contexto específico.</t>
  </si>
  <si>
    <t>La validación se realiza en el contexto de "equipos Scrum distribuidos". Es un entorno de proyecto realista, aunque no se especifica si es industrial o una simulación con datos reales.</t>
  </si>
  <si>
    <r>
      <t xml:space="preserve">Se reporta evidencia clara de impacto en métricas de rendimiento del equipo: </t>
    </r>
    <r>
      <rPr>
        <b/>
        <sz val="11"/>
        <color theme="1"/>
        <rFont val="Aptos Narrow"/>
        <family val="2"/>
        <scheme val="minor"/>
      </rPr>
      <t>"Mejor distribución de carga, eficiencia en asignación, reducción de cuellos de botella"</t>
    </r>
    <r>
      <rPr>
        <sz val="11"/>
        <color theme="1"/>
        <rFont val="Aptos Narrow"/>
        <family val="2"/>
        <scheme val="minor"/>
      </rPr>
      <t>.</t>
    </r>
  </si>
  <si>
    <r>
      <t xml:space="preserve">La solución está diseñada para la </t>
    </r>
    <r>
      <rPr>
        <b/>
        <sz val="11"/>
        <color theme="1"/>
        <rFont val="Aptos Narrow"/>
        <family val="2"/>
        <scheme val="minor"/>
      </rPr>
      <t>"automatización de coordinación y gestión"</t>
    </r>
    <r>
      <rPr>
        <sz val="11"/>
        <color theme="1"/>
        <rFont val="Aptos Narrow"/>
        <family val="2"/>
        <scheme val="minor"/>
      </rPr>
      <t xml:space="preserve"> de tareas, lo que implica una integración directa en el flujo de trabajo de la gestión de proyectos ágiles.</t>
    </r>
  </si>
  <si>
    <r>
      <t xml:space="preserve">La reproducibilidad es baja. El modelo depende de </t>
    </r>
    <r>
      <rPr>
        <b/>
        <sz val="11"/>
        <color theme="1"/>
        <rFont val="Aptos Narrow"/>
        <family val="2"/>
        <scheme val="minor"/>
      </rPr>
      <t>"datos históricos robustos"</t>
    </r>
    <r>
      <rPr>
        <sz val="11"/>
        <color theme="1"/>
        <rFont val="Aptos Narrow"/>
        <family val="2"/>
        <scheme val="minor"/>
      </rPr>
      <t xml:space="preserve"> del equipo, que son específicos y privados, lo que dificulta que otros investigadores puedan replicar el estudio con exactitud.</t>
    </r>
  </si>
  <si>
    <t>A174</t>
  </si>
  <si>
    <t>La metodología es un "estudio aplicado" de tipo "caso de uso", un enfoque de investigación experimental y sistemático.</t>
  </si>
  <si>
    <t>El contexto es un proceso de investigación real (una revisión sistemática), pero no un entorno de desarrollo de software industrial, que es el foco de la rúbrica.</t>
  </si>
  <si>
    <r>
      <t xml:space="preserve">Se reporta evidencia clara de impacto en el proceso de investigación: </t>
    </r>
    <r>
      <rPr>
        <b/>
        <sz val="11"/>
        <color theme="1"/>
        <rFont val="Aptos Narrow"/>
        <family val="2"/>
        <scheme val="minor"/>
      </rPr>
      <t>"Eficiencia, reducción de sesgo humano, trazabilidad"</t>
    </r>
    <r>
      <rPr>
        <sz val="11"/>
        <color theme="1"/>
        <rFont val="Aptos Narrow"/>
        <family val="2"/>
        <scheme val="minor"/>
      </rPr>
      <t>.</t>
    </r>
  </si>
  <si>
    <t>La integración se discute a nivel del flujo de trabajo de una revisión literaria, no de un ecosistema de desarrollo de software ágil.</t>
  </si>
  <si>
    <t>La reproducibilidad es máxima. El estudio presenta un método para aplicar ML y NLP a una revisión, diseñado para que otros investigadores puedan replicarlo.</t>
  </si>
  <si>
    <t>A176</t>
  </si>
  <si>
    <t>La metodología es una "propuesta de framework" que incluye una "validación experimental". Es un enfoque de investigación constructivo, riguroso y sistemático.</t>
  </si>
  <si>
    <r>
      <t xml:space="preserve">La validación se realiza utilizando </t>
    </r>
    <r>
      <rPr>
        <b/>
        <sz val="11"/>
        <color theme="1"/>
        <rFont val="Aptos Narrow"/>
        <family val="2"/>
        <scheme val="minor"/>
      </rPr>
      <t>"herramientas reales (Jira, Azure DevOps)"</t>
    </r>
    <r>
      <rPr>
        <sz val="11"/>
        <color theme="1"/>
        <rFont val="Aptos Narrow"/>
        <family val="2"/>
        <scheme val="minor"/>
      </rPr>
      <t>. Esto demuestra un contexto de aplicación muy realista y relevante, un paso más allá de un simple laboratorio.</t>
    </r>
  </si>
  <si>
    <r>
      <t xml:space="preserve">Se proporciona evidencia cuantitativa explícita y de alto impacto: </t>
    </r>
    <r>
      <rPr>
        <b/>
        <sz val="11"/>
        <color theme="1"/>
        <rFont val="Aptos Narrow"/>
        <family val="2"/>
        <scheme val="minor"/>
      </rPr>
      <t>"Mejora de precisión en gestión de riesgos (94%)"</t>
    </r>
    <r>
      <rPr>
        <sz val="11"/>
        <color theme="1"/>
        <rFont val="Aptos Narrow"/>
        <family val="2"/>
        <scheme val="minor"/>
      </rPr>
      <t xml:space="preserve"> y </t>
    </r>
    <r>
      <rPr>
        <b/>
        <sz val="11"/>
        <color theme="1"/>
        <rFont val="Aptos Narrow"/>
        <family val="2"/>
        <scheme val="minor"/>
      </rPr>
      <t>"optimización de recursos (hasta 25%)"</t>
    </r>
    <r>
      <rPr>
        <sz val="11"/>
        <color theme="1"/>
        <rFont val="Aptos Narrow"/>
        <family val="2"/>
        <scheme val="minor"/>
      </rPr>
      <t>.</t>
    </r>
  </si>
  <si>
    <r>
      <t xml:space="preserve">La integración es un pilar del estudio. La propuesta es un sistema </t>
    </r>
    <r>
      <rPr>
        <b/>
        <sz val="11"/>
        <color theme="1"/>
        <rFont val="Aptos Narrow"/>
        <family val="2"/>
        <scheme val="minor"/>
      </rPr>
      <t>"conectado a plataformas ágiles"</t>
    </r>
    <r>
      <rPr>
        <sz val="11"/>
        <color theme="1"/>
        <rFont val="Aptos Narrow"/>
        <family val="2"/>
        <scheme val="minor"/>
      </rPr>
      <t xml:space="preserve"> y se menciona la </t>
    </r>
    <r>
      <rPr>
        <b/>
        <sz val="11"/>
        <color theme="1"/>
        <rFont val="Aptos Narrow"/>
        <family val="2"/>
        <scheme val="minor"/>
      </rPr>
      <t>"integración técnica con herramientas como Jira o Trello"</t>
    </r>
    <r>
      <rPr>
        <sz val="11"/>
        <color theme="1"/>
        <rFont val="Aptos Narrow"/>
        <family val="2"/>
        <scheme val="minor"/>
      </rPr>
      <t>.</t>
    </r>
  </si>
  <si>
    <t>La reproducibilidad es moderada. Aunque el método experimental está descrito, la PI4 señala la "dependencia de datos históricos precisos", que probablemente son privados, dificultando una replicación directa.</t>
  </si>
  <si>
    <t>A179</t>
  </si>
  <si>
    <t>La metodología es un "estudio de caso aplicado" que incluye una "implementación práctica", un enfoque de investigación riguroso y muy valorado en ingeniería de software.</t>
  </si>
  <si>
    <r>
      <t xml:space="preserve">El estudio se desarrolla explícitamente en </t>
    </r>
    <r>
      <rPr>
        <b/>
        <sz val="11"/>
        <color theme="1"/>
        <rFont val="Aptos Narrow"/>
        <family val="2"/>
        <scheme val="minor"/>
      </rPr>
      <t>"entornos industriales"</t>
    </r>
    <r>
      <rPr>
        <sz val="11"/>
        <color theme="1"/>
        <rFont val="Aptos Narrow"/>
        <family val="2"/>
        <scheme val="minor"/>
      </rPr>
      <t>, lo que le otorga el máximo nivel de validación en un contexto de proyecto real.</t>
    </r>
  </si>
  <si>
    <r>
      <t xml:space="preserve">Se reportan evidencias claras de impacto en el proceso de CI/CD: </t>
    </r>
    <r>
      <rPr>
        <b/>
        <sz val="11"/>
        <color theme="1"/>
        <rFont val="Aptos Narrow"/>
        <family val="2"/>
        <scheme val="minor"/>
      </rPr>
      <t>"Mejora la asignación de pruebas, reduce decisiones incorrectas, optimiza ejecución de CI"</t>
    </r>
    <r>
      <rPr>
        <sz val="11"/>
        <color theme="1"/>
        <rFont val="Aptos Narrow"/>
        <family val="2"/>
        <scheme val="minor"/>
      </rPr>
      <t>.</t>
    </r>
  </si>
  <si>
    <r>
      <t xml:space="preserve">La integración es el tema central. El sistema está diseñado para optimizar las decisiones en el testing automatizado dentro de </t>
    </r>
    <r>
      <rPr>
        <b/>
        <sz val="11"/>
        <color theme="1"/>
        <rFont val="Aptos Narrow"/>
        <family val="2"/>
        <scheme val="minor"/>
      </rPr>
      <t>entornos de Integración Continua (CI)</t>
    </r>
    <r>
      <rPr>
        <sz val="11"/>
        <color theme="1"/>
        <rFont val="Aptos Narrow"/>
        <family val="2"/>
        <scheme val="minor"/>
      </rPr>
      <t>, un pilar del ecosistema ágil.</t>
    </r>
  </si>
  <si>
    <t>La reproducibilidad es baja. Al ser un estudio de caso industrial con una implementación práctica (el sistema ITMOS), es muy probable que los datos y el código sean privados, dificultando la replicación del estudio.</t>
  </si>
  <si>
    <t>A180</t>
  </si>
  <si>
    <t>No aplica. El trabajo no genera evidencia primaria sobre el impacto de una solución. Su contribución es resumir los beneficios reportados por otros estudios (ej. "reduce ambigüedad").</t>
  </si>
  <si>
    <t>A181</t>
  </si>
  <si>
    <t>No aplica. El trabajo no genera evidencia primaria sobre el impacto de una solución. Su contribución es resumir los beneficios reportados por otros estudios (ej. "mejora la automatización").</t>
  </si>
  <si>
    <t>A182</t>
  </si>
  <si>
    <t>La metodología es cuantitativa, utilizando "análisis de datos y modelos ML" (regresión, clustering). Es un enfoque de investigación riguroso y sistemático.</t>
  </si>
  <si>
    <t>El estudio se aplica a "marcos ágiles" y utiliza datos para evaluar la eficiencia. Es un contexto realista, aunque el resumen no especifica si los datos son industriales, de código abierto o académicos.</t>
  </si>
  <si>
    <r>
      <t xml:space="preserve">La evidencia de impacto es el núcleo del estudio, como indica su título ("Assessing the Impact..."). Se reportan mejoras medibles en </t>
    </r>
    <r>
      <rPr>
        <b/>
        <sz val="11"/>
        <color theme="1"/>
        <rFont val="Aptos Narrow"/>
        <family val="2"/>
        <scheme val="minor"/>
      </rPr>
      <t>"eficiencia del equipo, precisión en predicciones, reducción de errores humanos"</t>
    </r>
    <r>
      <rPr>
        <sz val="11"/>
        <color theme="1"/>
        <rFont val="Aptos Narrow"/>
        <family val="2"/>
        <scheme val="minor"/>
      </rPr>
      <t>.</t>
    </r>
  </si>
  <si>
    <t>Al evaluar el impacto de "herramientas de IA y ML" en los "marcos ágiles", el estudio analiza intrínsecamente cómo estas herramientas se integran y afectan el flujo de trabajo en fases como planificación y seguimiento.</t>
  </si>
  <si>
    <t>La reproducibilidad es moderada. Aunque el método de análisis cuantitativo es replicable, es probable que el conjunto de datos específico utilizado no sea público, lo que dificulta una replicación directa.</t>
  </si>
  <si>
    <t>A184</t>
  </si>
  <si>
    <t>La metodología es un "estudio de caso empírico", un enfoque de investigación riguroso y sistemático para analizar un fenómeno en su contexto natural.</t>
  </si>
  <si>
    <t>El estudio se desarrolla en un contexto industrial real (cadena de suministro). Aunque no es desarrollo de software, aplica principios de agilidad en la planificación (S&amp;OP), lo que le da una alta validez en un entorno práctico.</t>
  </si>
  <si>
    <r>
      <t xml:space="preserve">Se reporta evidencia de impacto en métricas de negocio: </t>
    </r>
    <r>
      <rPr>
        <b/>
        <sz val="11"/>
        <color theme="1"/>
        <rFont val="Aptos Narrow"/>
        <family val="2"/>
        <scheme val="minor"/>
      </rPr>
      <t>"Mejora de precisión en la previsión"</t>
    </r>
    <r>
      <rPr>
        <sz val="11"/>
        <color theme="1"/>
        <rFont val="Aptos Narrow"/>
        <family val="2"/>
        <scheme val="minor"/>
      </rPr>
      <t xml:space="preserve"> y </t>
    </r>
    <r>
      <rPr>
        <b/>
        <sz val="11"/>
        <color theme="1"/>
        <rFont val="Aptos Narrow"/>
        <family val="2"/>
        <scheme val="minor"/>
      </rPr>
      <t>"mayor agilidad en la cadena de suministro"</t>
    </r>
    <r>
      <rPr>
        <sz val="11"/>
        <color theme="1"/>
        <rFont val="Aptos Narrow"/>
        <family val="2"/>
        <scheme val="minor"/>
      </rPr>
      <t>. Es una evidencia cualitativa fuerte basada en un caso real.</t>
    </r>
  </si>
  <si>
    <r>
      <t xml:space="preserve">Se discute la integración con un ecosistema de herramientas industriales explícito: </t>
    </r>
    <r>
      <rPr>
        <b/>
        <sz val="11"/>
        <color theme="1"/>
        <rFont val="Aptos Narrow"/>
        <family val="2"/>
        <scheme val="minor"/>
      </rPr>
      <t>"herramientas de previsión integradas (JDA, ERP, MFR)"</t>
    </r>
    <r>
      <rPr>
        <sz val="11"/>
        <color theme="1"/>
        <rFont val="Aptos Narrow"/>
        <family val="2"/>
        <scheme val="minor"/>
      </rPr>
      <t>. La integración es una parte clave del estudio.</t>
    </r>
  </si>
  <si>
    <t>La reproducibilidad es baja. Al ser un estudio de caso empírico en un entorno de negocio específico, los datos y procesos son privados, lo que dificulta la replicación del estudio.</t>
  </si>
  <si>
    <t>A186</t>
  </si>
  <si>
    <t>La metodología es un "estudio secundario" que combina una "revisión sistemática" y "encuestas". Es un enfoque de investigación mixto, riguroso y sistemático.</t>
  </si>
  <si>
    <t>No aplica. Al ser un estudio secundario, su propósito es analizar y sintetizar la literatura y los resultados de encuestas, no proponer y validar una solución propia.</t>
  </si>
  <si>
    <t>No aplica. El trabajo no genera evidencia primaria sobre el impacto de una solución. Su contribución es comparar los beneficios esperados con los beneficios reales reportados en la industria.</t>
  </si>
  <si>
    <t>No aplica. El resultado es un documento de análisis. La PI4 incluso identifica la "dificultad de integración" como uno de los desafíos encontrados.</t>
  </si>
  <si>
    <t>La reproducibilidad del método es un pilar fundamental de una revisión sistemática y un estudio basado en encuestas. Se asume que el protocolo es detallado y replicable.</t>
  </si>
  <si>
    <t>A188</t>
  </si>
  <si>
    <t>La metodología es un "Estudio de caso", un enfoque de investigación riguroso y sistemático para analizar un fenómeno en su contexto natural.</t>
  </si>
  <si>
    <t>El estudio se desarrolla en un contexto industrial explícito y real (el caso de la empresa ING), lo que le otorga la máxima puntuación en este criterio.</t>
  </si>
  <si>
    <r>
      <t xml:space="preserve">Se proporciona evidencia de impacto de alta calidad. La matriz de clasificación señala explícitamente que </t>
    </r>
    <r>
      <rPr>
        <b/>
        <sz val="11"/>
        <color theme="1"/>
        <rFont val="Aptos Narrow"/>
        <family val="2"/>
        <scheme val="minor"/>
      </rPr>
      <t>"presenta mejoras cuantificadas en eficiencia, cumplimiento y toma de decisiones"</t>
    </r>
    <r>
      <rPr>
        <sz val="11"/>
        <color theme="1"/>
        <rFont val="Aptos Narrow"/>
        <family val="2"/>
        <scheme val="minor"/>
      </rPr>
      <t>.</t>
    </r>
  </si>
  <si>
    <t>La integración es el tema central. El estudio analiza cómo herramientas de IA y NLP (chatbots, reportes automatizados) se integran en el flujo de trabajo ágil de una gran empresa para la planificación, ejecución y seguimiento.</t>
  </si>
  <si>
    <t>La reproducibilidad es baja. Al ser un estudio de caso en una empresa específica, los datos, las herramientas internas y el contexto son privados, lo que dificulta una replicación directa del estudio.</t>
  </si>
  <si>
    <t>A189</t>
  </si>
  <si>
    <t>La metodología es un "estudio empírico aplicado", un enfoque de investigación sistemático y riguroso para evaluar el impacto de una herramienta en la práctica.</t>
  </si>
  <si>
    <t>La propuesta se aplica a "revisiones de código en contextos ágiles". Es una validación en un entorno de desarrollo real y práctico, un paso más allá de un laboratorio.</t>
  </si>
  <si>
    <r>
      <t xml:space="preserve">Se reportan evidencias de impacto, como la </t>
    </r>
    <r>
      <rPr>
        <b/>
        <sz val="11"/>
        <color theme="1"/>
        <rFont val="Aptos Narrow"/>
        <family val="2"/>
        <scheme val="minor"/>
      </rPr>
      <t>"mejora de productividad, calidad del código, reducción de errores humanos"</t>
    </r>
    <r>
      <rPr>
        <sz val="11"/>
        <color theme="1"/>
        <rFont val="Aptos Narrow"/>
        <family val="2"/>
        <scheme val="minor"/>
      </rPr>
      <t>. La nota de "evidencia mixta" sugiere un análisis honesto y matizado de los resultados.</t>
    </r>
  </si>
  <si>
    <r>
      <t xml:space="preserve">La integración es el tema central del estudio. Se enfoca en cómo las revisiones de código con IA se integran en el ciclo de </t>
    </r>
    <r>
      <rPr>
        <b/>
        <sz val="11"/>
        <color theme="1"/>
        <rFont val="Aptos Narrow"/>
        <family val="2"/>
        <scheme val="minor"/>
      </rPr>
      <t>"codificación, validación e integración continua"</t>
    </r>
    <r>
      <rPr>
        <sz val="11"/>
        <color theme="1"/>
        <rFont val="Aptos Narrow"/>
        <family val="2"/>
        <scheme val="minor"/>
      </rPr>
      <t xml:space="preserve"> de un equipo ágil.</t>
    </r>
  </si>
  <si>
    <t>La reproducibilidad es moderada. Aunque el método empírico está descrito, es probable que la herramienta específica de IA y el código base analizado sean privados, lo que dificulta una replicación directa.</t>
  </si>
  <si>
    <t>A191</t>
  </si>
  <si>
    <t>La metodología es una "propuesta metodológica" que presenta un nuevo framework (MAISTRO). Es un enfoque de investigación constructivo y sistemático.</t>
  </si>
  <si>
    <r>
      <t xml:space="preserve">La matriz de clasificación indica que la propuesta tiene una </t>
    </r>
    <r>
      <rPr>
        <b/>
        <sz val="11"/>
        <color theme="1"/>
        <rFont val="Aptos Narrow"/>
        <family val="2"/>
        <scheme val="minor"/>
      </rPr>
      <t>"validación práctica en dominio real"</t>
    </r>
    <r>
      <rPr>
        <sz val="11"/>
        <color theme="1"/>
        <rFont val="Aptos Narrow"/>
        <family val="2"/>
        <scheme val="minor"/>
      </rPr>
      <t>, lo que sitúa al estudio en un contexto aplicado y de alto valor, más allá de lo puramente teórico.</t>
    </r>
  </si>
  <si>
    <r>
      <t xml:space="preserve">Se reporta evidencia de impacto a nivel de proceso, observada durante la validación práctica: </t>
    </r>
    <r>
      <rPr>
        <b/>
        <sz val="11"/>
        <color theme="1"/>
        <rFont val="Aptos Narrow"/>
        <family val="2"/>
        <scheme val="minor"/>
      </rPr>
      <t>"Mejora en colaboración, trazabilidad, calidad de datos y alineación ética"</t>
    </r>
    <r>
      <rPr>
        <sz val="11"/>
        <color theme="1"/>
        <rFont val="Aptos Narrow"/>
        <family val="2"/>
        <scheme val="minor"/>
      </rPr>
      <t>.</t>
    </r>
  </si>
  <si>
    <r>
      <t xml:space="preserve">La integración es el núcleo de la propuesta. El framework MAISTRO está diseñado para integrar </t>
    </r>
    <r>
      <rPr>
        <b/>
        <sz val="11"/>
        <color theme="1"/>
        <rFont val="Aptos Narrow"/>
        <family val="2"/>
        <scheme val="minor"/>
      </rPr>
      <t>"ética, automatización y DevOps"</t>
    </r>
    <r>
      <rPr>
        <sz val="11"/>
        <color theme="1"/>
        <rFont val="Aptos Narrow"/>
        <family val="2"/>
        <scheme val="minor"/>
      </rPr>
      <t xml:space="preserve"> en todas las fases del ciclo de vida ágil, desde la ideación hasta el mantenimiento.</t>
    </r>
  </si>
  <si>
    <t>Al proponer una metodología estructurada, se asume que está descrita con suficiente detalle como para que otros equipos intenten aplicarla. Su reproducibilidad conceptual es alta.</t>
  </si>
  <si>
    <t>A192</t>
  </si>
  <si>
    <t>La metodología combina un "estudio de caso" con la derivación de un "marco conceptual". Es un enfoque de investigación cualitativo, aplicado y sistemático.</t>
  </si>
  <si>
    <r>
      <t xml:space="preserve">El estudio se basa en un caso de estudio explícito y real: </t>
    </r>
    <r>
      <rPr>
        <b/>
        <sz val="11"/>
        <color theme="1"/>
        <rFont val="Aptos Narrow"/>
        <family val="2"/>
        <scheme val="minor"/>
      </rPr>
      <t>"aplicaciones de salud móvil (mHealth) habilitadas para IA"</t>
    </r>
    <r>
      <rPr>
        <sz val="11"/>
        <color theme="1"/>
        <rFont val="Aptos Narrow"/>
        <family val="2"/>
        <scheme val="minor"/>
      </rPr>
      <t>. Es un contexto industrial o de proyecto real de máximo nivel.</t>
    </r>
  </si>
  <si>
    <r>
      <t xml:space="preserve">Se reportan beneficios observados en el caso de estudio, centrados en el proceso y la calidad: </t>
    </r>
    <r>
      <rPr>
        <b/>
        <sz val="11"/>
        <color theme="1"/>
        <rFont val="Aptos Narrow"/>
        <family val="2"/>
        <scheme val="minor"/>
      </rPr>
      <t>"Mejora en transparencia, gobernanza, confianza, alineación ética con usuarios finales"</t>
    </r>
    <r>
      <rPr>
        <sz val="11"/>
        <color theme="1"/>
        <rFont val="Aptos Narrow"/>
        <family val="2"/>
        <scheme val="minor"/>
      </rPr>
      <t>. Es una evidencia cualitativa fuerte.</t>
    </r>
  </si>
  <si>
    <r>
      <t xml:space="preserve">La integración es el tema central. El estudio analiza cómo operacionalizar la ética </t>
    </r>
    <r>
      <rPr>
        <b/>
        <sz val="11"/>
        <color theme="1"/>
        <rFont val="Aptos Narrow"/>
        <family val="2"/>
        <scheme val="minor"/>
      </rPr>
      <t>"a través del ciclo de vida de desarrollo de software ágil"</t>
    </r>
    <r>
      <rPr>
        <sz val="11"/>
        <color theme="1"/>
        <rFont val="Aptos Narrow"/>
        <family val="2"/>
        <scheme val="minor"/>
      </rPr>
      <t>, abarcando desde los requisitos hasta el despliegue.</t>
    </r>
  </si>
  <si>
    <t>La reproducibilidad es baja. Al derivar un marco de un estudio de caso específico en mHealth, los hallazgos son contextuales y, como señala la PI4, tienen "dificultad de escalar fuera del dominio mHealth".</t>
  </si>
  <si>
    <t>A193</t>
  </si>
  <si>
    <t>No aplica. El trabajo no genera evidencia primaria sobre el impacto de una solución. Su contribución es resumir los beneficios reportados por otros estudios (ej. "Reducción de tiempos de ejecución").</t>
  </si>
  <si>
    <t>A194</t>
  </si>
  <si>
    <t>La metodología es un "estudio cuantitativo" que valida un modelo conceptual mediante "encuestas". Es un enfoque de investigación sistemático y reconocido.</t>
  </si>
  <si>
    <t>El uso de encuestas a profesionales para validar el modelo sitúa al estudio en un contexto de práctica real y relevante, un paso más allá de un laboratorio.</t>
  </si>
  <si>
    <r>
      <t xml:space="preserve">Se reporta un </t>
    </r>
    <r>
      <rPr>
        <b/>
        <sz val="11"/>
        <color theme="1"/>
        <rFont val="Aptos Narrow"/>
        <family val="2"/>
        <scheme val="minor"/>
      </rPr>
      <t>"impacto positivo percibido"</t>
    </r>
    <r>
      <rPr>
        <sz val="11"/>
        <color theme="1"/>
        <rFont val="Aptos Narrow"/>
        <family val="2"/>
        <scheme val="minor"/>
      </rPr>
      <t xml:space="preserve"> en el éxito del proyecto. Al basarse en encuestas, es una evidencia cualitativa/cuantitativa válida de la percepción de los profesionales, aunque no una medición directa.</t>
    </r>
  </si>
  <si>
    <r>
      <t xml:space="preserve">La discusión sobre la IA es a un nivel muy alto y estratégico. El resumen de la PI4 es claro: </t>
    </r>
    <r>
      <rPr>
        <b/>
        <sz val="11"/>
        <color theme="1"/>
        <rFont val="Aptos Narrow"/>
        <family val="2"/>
        <scheme val="minor"/>
      </rPr>
      <t>"Análisis superficial de IA, sin implementación técnica"</t>
    </r>
    <r>
      <rPr>
        <sz val="11"/>
        <color theme="1"/>
        <rFont val="Aptos Narrow"/>
        <family val="2"/>
        <scheme val="minor"/>
      </rPr>
      <t>. No se aborda la integración en el ecosistema.</t>
    </r>
  </si>
  <si>
    <t>La reproducibilidad es moderada. El método (encuesta + análisis estadístico) es replicable, pero los resultados dependen de la muestra específica de encuestados, que no puede ser replicada exactamente.</t>
  </si>
  <si>
    <t>A195</t>
  </si>
  <si>
    <t>La metodología es una "revisión y análisis conceptual", un enfoque sistemático para sintetizar el conocimiento y proponer enfoques estratégicos.</t>
  </si>
  <si>
    <t>Al ser un estudio de revisión, no presenta una validación propia. Analiza la aplicación de IA en marcos reales como SAFe, pero el estudio en sí es teórico.</t>
  </si>
  <si>
    <r>
      <t xml:space="preserve">Se reportan beneficios como la </t>
    </r>
    <r>
      <rPr>
        <b/>
        <sz val="11"/>
        <color theme="1"/>
        <rFont val="Aptos Narrow"/>
        <family val="2"/>
        <scheme val="minor"/>
      </rPr>
      <t>"reducción de costos"</t>
    </r>
    <r>
      <rPr>
        <sz val="11"/>
        <color theme="1"/>
        <rFont val="Aptos Narrow"/>
        <family val="2"/>
        <scheme val="minor"/>
      </rPr>
      <t xml:space="preserve"> y la </t>
    </r>
    <r>
      <rPr>
        <b/>
        <sz val="11"/>
        <color theme="1"/>
        <rFont val="Aptos Narrow"/>
        <family val="2"/>
        <scheme val="minor"/>
      </rPr>
      <t>"aceleración del delivery"</t>
    </r>
    <r>
      <rPr>
        <sz val="11"/>
        <color theme="1"/>
        <rFont val="Aptos Narrow"/>
        <family val="2"/>
        <scheme val="minor"/>
      </rPr>
      <t>. Al ser una revisión, son beneficios analizados a partir de la literatura, no de un experimento primario.</t>
    </r>
  </si>
  <si>
    <t>La integración es un tema central. El estudio se enfoca en cómo la IA se integra en la "gestión ágil estratégica, especialmente con marcos como SAFe", abordando el tema a nivel de proceso y organización.</t>
  </si>
  <si>
    <t>La reproducibilidad es baja. El artículo presenta un análisis conceptual y una propuesta estratégica, no un método o artefacto técnico que pueda ser replicado.</t>
  </si>
  <si>
    <t>A199</t>
  </si>
  <si>
    <t>La metodología es una "Propuesta Metodológica" sistemática y bien definida, que presenta un nuevo marco de trabajo (TDAMR).</t>
  </si>
  <si>
    <r>
      <t xml:space="preserve">La validación es "Académica". El resumen de la PI4 es claro al señalar una </t>
    </r>
    <r>
      <rPr>
        <b/>
        <sz val="11"/>
        <color theme="1"/>
        <rFont val="Aptos Narrow"/>
        <family val="2"/>
        <scheme val="minor"/>
      </rPr>
      <t>"escasa validación empírica en industria; aplicación aún teórica"</t>
    </r>
    <r>
      <rPr>
        <sz val="11"/>
        <color theme="1"/>
        <rFont val="Aptos Narrow"/>
        <family val="2"/>
        <scheme val="minor"/>
      </rPr>
      <t>. No se aplica en un contexto de proyecto real.</t>
    </r>
  </si>
  <si>
    <r>
      <t xml:space="preserve">Se reportan beneficios potenciales muy atractivos, como la </t>
    </r>
    <r>
      <rPr>
        <b/>
        <sz val="11"/>
        <color theme="1"/>
        <rFont val="Aptos Narrow"/>
        <family val="2"/>
        <scheme val="minor"/>
      </rPr>
      <t>"reducción de tiempo de desarrollo (3 días)"</t>
    </r>
    <r>
      <rPr>
        <sz val="11"/>
        <color theme="1"/>
        <rFont val="Aptos Narrow"/>
        <family val="2"/>
        <scheme val="minor"/>
      </rPr>
      <t>. Sin embargo, al ser una validación teórica, no hay evidencia empírica que demuestre este impacto.</t>
    </r>
  </si>
  <si>
    <r>
      <t xml:space="preserve">La integración es el núcleo de la propuesta. Se trata de una metodología ágil completa, diseñada específicamente para gestionar </t>
    </r>
    <r>
      <rPr>
        <b/>
        <sz val="11"/>
        <color theme="1"/>
        <rFont val="Aptos Narrow"/>
        <family val="2"/>
        <scheme val="minor"/>
      </rPr>
      <t>"todas las fases del ciclo ágil"</t>
    </r>
    <r>
      <rPr>
        <sz val="11"/>
        <color theme="1"/>
        <rFont val="Aptos Narrow"/>
        <family val="2"/>
        <scheme val="minor"/>
      </rPr>
      <t xml:space="preserve"> en proyectos de IA, lo que implica una discusión profunda sobre la integración del proceso.</t>
    </r>
  </si>
  <si>
    <t>Al proponer una metodología explícita con componentes claros ("Decision Gates"), la propuesta está diseñada para ser comprendida y aplicada, por lo que su reproducibilidad conceptual es alta.</t>
  </si>
  <si>
    <t>A201</t>
  </si>
  <si>
    <t>La metodología es una "propuesta conceptual" que se ilustra con un "ejemplo aplicado". Es un enfoque de investigación constructivo y sistemático.</t>
  </si>
  <si>
    <t>La validación se realiza a través de un "ejemplo aplicado". Esto sitúa al estudio en un contexto práctico, pero probablemente a nivel de prueba de concepto o en un entorno controlado, no industrial.</t>
  </si>
  <si>
    <r>
      <t xml:space="preserve">Se reportan evidencias claras de impacto, como </t>
    </r>
    <r>
      <rPr>
        <b/>
        <sz val="11"/>
        <color theme="1"/>
        <rFont val="Aptos Narrow"/>
        <family val="2"/>
        <scheme val="minor"/>
      </rPr>
      <t>"mayor cobertura de pruebas"</t>
    </r>
    <r>
      <rPr>
        <sz val="11"/>
        <color theme="1"/>
        <rFont val="Aptos Narrow"/>
        <family val="2"/>
        <scheme val="minor"/>
      </rPr>
      <t xml:space="preserve"> y </t>
    </r>
    <r>
      <rPr>
        <b/>
        <sz val="11"/>
        <color theme="1"/>
        <rFont val="Aptos Narrow"/>
        <family val="2"/>
        <scheme val="minor"/>
      </rPr>
      <t>"retroalimentación más rápida"</t>
    </r>
    <r>
      <rPr>
        <sz val="11"/>
        <color theme="1"/>
        <rFont val="Aptos Narrow"/>
        <family val="2"/>
        <scheme val="minor"/>
      </rPr>
      <t>. Al provenir de un ejemplo aplicado, se asume que estos beneficios fueron observados.</t>
    </r>
  </si>
  <si>
    <r>
      <t xml:space="preserve">La integración es el tema central del estudio, como indica su título. Se enfoca en cómo integrar la IA en </t>
    </r>
    <r>
      <rPr>
        <b/>
        <sz val="11"/>
        <color theme="1"/>
        <rFont val="Aptos Narrow"/>
        <family val="2"/>
        <scheme val="minor"/>
      </rPr>
      <t>"ciclos ágiles, especialmente en integración continua (CI/CD)"</t>
    </r>
    <r>
      <rPr>
        <sz val="11"/>
        <color theme="1"/>
        <rFont val="Aptos Narrow"/>
        <family val="2"/>
        <scheme val="minor"/>
      </rPr>
      <t>, abordando el ecosistema de manera explícita.</t>
    </r>
  </si>
  <si>
    <t>La reproducibilidad es moderada. Al ser una propuesta conceptual con un ejemplo, el marco de trabajo se puede comprender y replicar teóricamente, pero la falta de detalles sobre una validación empírica formal puede dificultar la replicación de resultados.</t>
  </si>
  <si>
    <t>A202</t>
  </si>
  <si>
    <t>La metodología es una "propuesta metodológica" validada a través de un "estudio de caso", un enfoque de investigación aplicado, riguroso y sistemático.</t>
  </si>
  <si>
    <t>La validación se realiza mediante un estudio de caso, lo que sitúa la propuesta en un contexto de proyecto real y práctico, un paso más allá de un simple laboratorio.</t>
  </si>
  <si>
    <r>
      <t xml:space="preserve">Se reportan evidencias de impacto a nivel de proceso, observadas en el caso de estudio: </t>
    </r>
    <r>
      <rPr>
        <b/>
        <sz val="11"/>
        <color theme="1"/>
        <rFont val="Aptos Narrow"/>
        <family val="2"/>
        <scheme val="minor"/>
      </rPr>
      <t>"Alineación de prácticas ágiles con MLOps"</t>
    </r>
    <r>
      <rPr>
        <sz val="11"/>
        <color theme="1"/>
        <rFont val="Aptos Narrow"/>
        <family val="2"/>
        <scheme val="minor"/>
      </rPr>
      <t xml:space="preserve"> y </t>
    </r>
    <r>
      <rPr>
        <b/>
        <sz val="11"/>
        <color theme="1"/>
        <rFont val="Aptos Narrow"/>
        <family val="2"/>
        <scheme val="minor"/>
      </rPr>
      <t>"mejora en entregas incrementales de valor"</t>
    </r>
    <r>
      <rPr>
        <sz val="11"/>
        <color theme="1"/>
        <rFont val="Aptos Narrow"/>
        <family val="2"/>
        <scheme val="minor"/>
      </rPr>
      <t>.</t>
    </r>
  </si>
  <si>
    <t>La integración es el tema central. La propuesta es un marco para la "fusión entre agilismo, DevOps y MLOps" que abarca todo el ciclo de vida, desde la planificación hasta el monitoreo.</t>
  </si>
  <si>
    <t>La reproducibilidad es moderada. Aunque el marco metodológico propuesto es transferible conceptualmente, al basarse en un estudio de caso, los datos y el contexto específico son privados, lo que dificulta una replicación directa.</t>
  </si>
  <si>
    <t>A205</t>
  </si>
  <si>
    <t>La metodología es una "revisión narrativa" de tipo conceptual. Es un enfoque sistemático para explorar un tema, aunque menos riguroso que una revisión sistemática formal.</t>
  </si>
  <si>
    <t>Al ser un estudio conceptual, no presenta una validación empírica propia. La PI4 confirma la "falta de validación empírica" y los "desafíos en integración en entornos reales".</t>
  </si>
  <si>
    <r>
      <t xml:space="preserve">Se describen beneficios potenciales como la </t>
    </r>
    <r>
      <rPr>
        <b/>
        <sz val="11"/>
        <color theme="1"/>
        <rFont val="Aptos Narrow"/>
        <family val="2"/>
        <scheme val="minor"/>
      </rPr>
      <t>"mejora en la precisión de planificación"</t>
    </r>
    <r>
      <rPr>
        <sz val="11"/>
        <color theme="1"/>
        <rFont val="Aptos Narrow"/>
        <family val="2"/>
        <scheme val="minor"/>
      </rPr>
      <t>. Sin embargo, al no haber validación, son beneficios teóricos no respaldados por evidencia.</t>
    </r>
  </si>
  <si>
    <r>
      <t xml:space="preserve">La integración es un tema central. El estudio se enfoca en cómo la IA se puede aplicar en la </t>
    </r>
    <r>
      <rPr>
        <b/>
        <sz val="11"/>
        <color theme="1"/>
        <rFont val="Aptos Narrow"/>
        <family val="2"/>
        <scheme val="minor"/>
      </rPr>
      <t>"planificación ágil"</t>
    </r>
    <r>
      <rPr>
        <sz val="11"/>
        <color theme="1"/>
        <rFont val="Aptos Narrow"/>
        <family val="2"/>
        <scheme val="minor"/>
      </rPr>
      <t xml:space="preserve"> (estimación, gestión de riesgos, etc.), discutiendo su acoplamiento con el proceso.</t>
    </r>
  </si>
  <si>
    <t>El artículo presenta un análisis conceptual de "motores" de IA (predictivos, conversacionales, etc.). No es un método o artefacto técnico reproducible, sino una exploración de ideas.</t>
  </si>
  <si>
    <t>A206</t>
  </si>
  <si>
    <t>No aplica. El trabajo no genera evidencia primaria sobre el impacto de una solución. Su contribución es resumir los beneficios reportados por otros estudios (ej. "automatización de la clasificación").</t>
  </si>
  <si>
    <t>A207</t>
  </si>
  <si>
    <t>No aplica. Al ser un estudio secundario, su propósito es analizar la literatura. La PI4 incluso destaca la "escasez de validaciones en escenarios industriales reales" como una brecha en el campo.</t>
  </si>
  <si>
    <t>No aplica. El trabajo no genera evidencia primaria sobre el impacto de una solución. Su contribución es resumir los beneficios reportados por otros estudios (ej. "automatización de la categorización").</t>
  </si>
  <si>
    <t>A208</t>
  </si>
  <si>
    <t>No aplica. Al ser un estudio secundario, su propósito es analizar y sintetizar la literatura, no proponer y validar una solución propia. La PI4 incluso destaca la "poca validación en contextos reales" como una brecha.</t>
  </si>
  <si>
    <t>No aplica. El trabajo no genera evidencia primaria sobre el impacto de una solución. Su contribución es resumir los beneficios reportados por otros estudios (ej. "optimización de selección de componentes").</t>
  </si>
  <si>
    <t>A209</t>
  </si>
  <si>
    <t>El estudio es un "Mapeo Sistemático" que analiza un gran volumen de artículos (más de 1600). Por definición, sigue una metodología de investigación explícita, rigurosa y sistemática.</t>
  </si>
  <si>
    <t>No aplica. Al ser un estudio secundario, su propósito es analizar la literatura. De hecho, una de sus conclusiones (PI4) es la "validación insuficiente en sistemas reales" de los estudios que revisa.</t>
  </si>
  <si>
    <t>No aplica. El trabajo no genera evidencia primaria sobre el impacto de una solución. Su contribución es resumir los beneficios reportados por otros estudios (ej. "monitorización de seguridad").</t>
  </si>
  <si>
    <t>No aplica. El resultado del estudio es un documento de revisión. Analiza patrones de integración (microservicios, SOA), pero no propone una integración propia.</t>
  </si>
  <si>
    <t>A210</t>
  </si>
  <si>
    <t>No aplica. El trabajo no genera evidencia primaria sobre el impacto de una solución. Su contribución es crear un "marco conceptual" y documentar antipatrones a partir de la literatura.</t>
  </si>
  <si>
    <t>A211</t>
  </si>
  <si>
    <t>El estudio es un "Mapeo Sistemático Secundario", lo que por definición sigue una metodología de investigación explícita, rigurosa y sistemática.</t>
  </si>
  <si>
    <t>No aplica. El trabajo no genera evidencia primaria sobre el impacto de una solución. Su contribución es comparar las expectativas con los beneficios reales reportados por otros estudios (ej. "ahorro de tiempo").</t>
  </si>
  <si>
    <t>A212</t>
  </si>
  <si>
    <t>El estudio es un "Mapeo Sistemático" de la literatura, lo que por definición sigue una metodología de investigación explícita, rigurosa y sistemática.</t>
  </si>
  <si>
    <t>No aplica. El trabajo no genera evidencia primaria sobre el impacto de una solución. Su contribución es resumir los beneficios y oportunidades reportados por otros estudios.</t>
  </si>
  <si>
    <t>A213</t>
  </si>
  <si>
    <t>El estudio es una "Revisión Sistemática de Literatura (SLR)", lo que por definición sigue una metodología de investigación explícita, rigurosa y sistemática.</t>
  </si>
  <si>
    <t>No aplica. El trabajo no genera evidencia primaria sobre el impacto de una solución. Su contribución es resumir los beneficios reportados por otros estudios (ej. "automatización de documentación").</t>
  </si>
  <si>
    <t>La reproducibilidad del método es un pilar fundamental de una SLR. Se asume que el estudio detalla su protocolo de búsqueda y criterios, permitiendo que la investigación sea replicada.</t>
  </si>
  <si>
    <t>A214</t>
  </si>
  <si>
    <t>La metodología es un "estudio empírico" que incluye una propuesta y un caso de estudio. Es un enfoque de investigación aplicado y sistemático.</t>
  </si>
  <si>
    <r>
      <t xml:space="preserve">La validación es limitada. El resumen de la PI4 indica que es un </t>
    </r>
    <r>
      <rPr>
        <b/>
        <sz val="11"/>
        <color theme="1"/>
        <rFont val="Aptos Narrow"/>
        <family val="2"/>
        <scheme val="minor"/>
      </rPr>
      <t>"caso de estudio basado en 20 requerimientos"</t>
    </r>
    <r>
      <rPr>
        <sz val="11"/>
        <color theme="1"/>
        <rFont val="Aptos Narrow"/>
        <family val="2"/>
        <scheme val="minor"/>
      </rPr>
      <t xml:space="preserve"> y que carece de </t>
    </r>
    <r>
      <rPr>
        <b/>
        <sz val="11"/>
        <color theme="1"/>
        <rFont val="Aptos Narrow"/>
        <family val="2"/>
        <scheme val="minor"/>
      </rPr>
      <t>"validación industrial"</t>
    </r>
    <r>
      <rPr>
        <sz val="11"/>
        <color theme="1"/>
        <rFont val="Aptos Narrow"/>
        <family val="2"/>
        <scheme val="minor"/>
      </rPr>
      <t>. Es una validación a nivel de laboratorio o de "toy example".</t>
    </r>
  </si>
  <si>
    <r>
      <t xml:space="preserve">Se reportan beneficios observados en el caso de estudio, como la </t>
    </r>
    <r>
      <rPr>
        <b/>
        <sz val="11"/>
        <color theme="1"/>
        <rFont val="Aptos Narrow"/>
        <family val="2"/>
        <scheme val="minor"/>
      </rPr>
      <t>"optimización del valor de negocio"</t>
    </r>
    <r>
      <rPr>
        <sz val="11"/>
        <color theme="1"/>
        <rFont val="Aptos Narrow"/>
        <family val="2"/>
        <scheme val="minor"/>
      </rPr>
      <t xml:space="preserve"> y la </t>
    </r>
    <r>
      <rPr>
        <b/>
        <sz val="11"/>
        <color theme="1"/>
        <rFont val="Aptos Narrow"/>
        <family val="2"/>
        <scheme val="minor"/>
      </rPr>
      <t>"mejora en la toma de decisiones"</t>
    </r>
    <r>
      <rPr>
        <sz val="11"/>
        <color theme="1"/>
        <rFont val="Aptos Narrow"/>
        <family val="2"/>
        <scheme val="minor"/>
      </rPr>
      <t>. Es una evidencia de impacto válida, aunque en un contexto limitado.</t>
    </r>
  </si>
  <si>
    <r>
      <t xml:space="preserve">La propuesta se centra en la </t>
    </r>
    <r>
      <rPr>
        <b/>
        <sz val="11"/>
        <color theme="1"/>
        <rFont val="Aptos Narrow"/>
        <family val="2"/>
        <scheme val="minor"/>
      </rPr>
      <t>"planificación de releases"</t>
    </r>
    <r>
      <rPr>
        <sz val="11"/>
        <color theme="1"/>
        <rFont val="Aptos Narrow"/>
        <family val="2"/>
        <scheme val="minor"/>
      </rPr>
      <t xml:space="preserve"> en un entorno ágil. La integración en el flujo de trabajo de la gestión de proyectos es el núcleo conceptual del estudio.</t>
    </r>
  </si>
  <si>
    <t>La reproducibilidad es alta. El estudio detalla la técnica (Q-Learning) y el caso de estudio (problema con 20 requerimientos), lo que permite que el experimento sea replicado por otros investigadores.</t>
  </si>
  <si>
    <t>A215</t>
  </si>
  <si>
    <t>La metodología es una "propuesta metodológica" que incluye el desarrollo de una "herramienta prototipo". Es un enfoque de investigación constructivo y sistemático.</t>
  </si>
  <si>
    <r>
      <t xml:space="preserve">La validación se realiza en un </t>
    </r>
    <r>
      <rPr>
        <b/>
        <sz val="11"/>
        <color theme="1"/>
        <rFont val="Aptos Narrow"/>
        <family val="2"/>
        <scheme val="minor"/>
      </rPr>
      <t>"caso real de una pyme"</t>
    </r>
    <r>
      <rPr>
        <sz val="11"/>
        <color theme="1"/>
        <rFont val="Aptos Narrow"/>
        <family val="2"/>
        <scheme val="minor"/>
      </rPr>
      <t>, aunque la PI4 aclara que fue en "escenarios reducidos". Es un contexto industrial, aunque la validación es preliminar, por lo que se califica como un estudio de caso limitado.</t>
    </r>
  </si>
  <si>
    <r>
      <t xml:space="preserve">Se reportan evidencias cualitativas de impacto en el proceso, observadas en el caso de estudio: </t>
    </r>
    <r>
      <rPr>
        <b/>
        <sz val="11"/>
        <color theme="1"/>
        <rFont val="Aptos Narrow"/>
        <family val="2"/>
        <scheme val="minor"/>
      </rPr>
      <t>"facilita integración de expertos de dominio"</t>
    </r>
    <r>
      <rPr>
        <sz val="11"/>
        <color theme="1"/>
        <rFont val="Aptos Narrow"/>
        <family val="2"/>
        <scheme val="minor"/>
      </rPr>
      <t xml:space="preserve"> y </t>
    </r>
    <r>
      <rPr>
        <b/>
        <sz val="11"/>
        <color theme="1"/>
        <rFont val="Aptos Narrow"/>
        <family val="2"/>
        <scheme val="minor"/>
      </rPr>
      <t>"acelera la adaptación de políticas"</t>
    </r>
    <r>
      <rPr>
        <sz val="11"/>
        <color theme="1"/>
        <rFont val="Aptos Narrow"/>
        <family val="2"/>
        <scheme val="minor"/>
      </rPr>
      <t>.</t>
    </r>
  </si>
  <si>
    <r>
      <t xml:space="preserve">La propuesta está diseñada para integrarse en el flujo de trabajo de "desarrollo web ágil", e incluso se menciona explícitamente su integración con prácticas como el </t>
    </r>
    <r>
      <rPr>
        <b/>
        <sz val="11"/>
        <color theme="1"/>
        <rFont val="Aptos Narrow"/>
        <family val="2"/>
        <scheme val="minor"/>
      </rPr>
      <t>Test-Driven Development</t>
    </r>
    <r>
      <rPr>
        <sz val="11"/>
        <color theme="1"/>
        <rFont val="Aptos Narrow"/>
        <family val="2"/>
        <scheme val="minor"/>
      </rPr>
      <t>.</t>
    </r>
  </si>
  <si>
    <t>La reproducibilidad es moderada. Aunque se describe el enfoque (algoritmo A*) y el prototipo, al ser una validación temprana, es posible que la descripción no sea lo suficientemente detallada para una replicación completa.</t>
  </si>
  <si>
    <t>A216</t>
  </si>
  <si>
    <t>La metodología es un "estudio empírico" que utiliza técnicas de Machine Learning para validar hipótesis sobre métricas. Es un enfoque de investigación cuantitativo, riguroso y sistemático.</t>
  </si>
  <si>
    <r>
      <t xml:space="preserve">La validación se realiza sobre un único dataset (probablemente un repositorio público como PROMISE). La PI4 confirma que el </t>
    </r>
    <r>
      <rPr>
        <b/>
        <sz val="11"/>
        <color theme="1"/>
        <rFont val="Aptos Narrow"/>
        <family val="2"/>
        <scheme val="minor"/>
      </rPr>
      <t>"estudio [está] limitado a un único dataset"</t>
    </r>
    <r>
      <rPr>
        <sz val="11"/>
        <color theme="1"/>
        <rFont val="Aptos Narrow"/>
        <family val="2"/>
        <scheme val="minor"/>
      </rPr>
      <t xml:space="preserve"> y carece de validación en proyectos industriales a gran escala.</t>
    </r>
  </si>
  <si>
    <r>
      <t xml:space="preserve">Se proporciona evidencia de impacto: el modelo </t>
    </r>
    <r>
      <rPr>
        <b/>
        <sz val="11"/>
        <color theme="1"/>
        <rFont val="Aptos Narrow"/>
        <family val="2"/>
        <scheme val="minor"/>
      </rPr>
      <t>"permite identificar clases propensas a fallos de manera temprana"</t>
    </r>
    <r>
      <rPr>
        <sz val="11"/>
        <color theme="1"/>
        <rFont val="Aptos Narrow"/>
        <family val="2"/>
        <scheme val="minor"/>
      </rPr>
      <t>, lo que tiene un impacto directo en la "reducción del esfuerzo de pruebas" y la "mejora de la calidad".</t>
    </r>
  </si>
  <si>
    <t>Aunque el tema es relevante para la calidad en entornos ágiles, el estudio se centra en validar la capacidad predictiva de las métricas, no en cómo integrar el modelo de predicción en un flujo de trabajo o ecosistema ágil.</t>
  </si>
  <si>
    <t>La reproducibilidad es máxima. El estudio utiliza métricas estándar (CK, MOOD) y algoritmos de ML conocidos sobre un dataset que se asume público, lo que permite una replicación directa del experimento.</t>
  </si>
  <si>
    <t>A217</t>
  </si>
  <si>
    <t>La metodología es una "propuesta metodológica" con un "estudio empírico parcial". Es un enfoque de investigación constructivo y sistemático.</t>
  </si>
  <si>
    <r>
      <t xml:space="preserve">La validación se limita a </t>
    </r>
    <r>
      <rPr>
        <b/>
        <sz val="11"/>
        <color theme="1"/>
        <rFont val="Aptos Narrow"/>
        <family val="2"/>
        <scheme val="minor"/>
      </rPr>
      <t>"dos casos de estudio"</t>
    </r>
    <r>
      <rPr>
        <sz val="11"/>
        <color theme="1"/>
        <rFont val="Aptos Narrow"/>
        <family val="2"/>
        <scheme val="minor"/>
      </rPr>
      <t xml:space="preserve"> y carece de "validaciones industriales a gran escala", según la PI4. El contexto es práctico pero de alcance limitado.</t>
    </r>
  </si>
  <si>
    <r>
      <t xml:space="preserve">Se reporta evidencia de impacto en el proceso de desarrollo: </t>
    </r>
    <r>
      <rPr>
        <b/>
        <sz val="11"/>
        <color theme="1"/>
        <rFont val="Aptos Narrow"/>
        <family val="2"/>
        <scheme val="minor"/>
      </rPr>
      <t>"automatización parcial de tareas"</t>
    </r>
    <r>
      <rPr>
        <sz val="11"/>
        <color theme="1"/>
        <rFont val="Aptos Narrow"/>
        <family val="2"/>
        <scheme val="minor"/>
      </rPr>
      <t xml:space="preserve"> (como la generación de agentes) y </t>
    </r>
    <r>
      <rPr>
        <b/>
        <sz val="11"/>
        <color theme="1"/>
        <rFont val="Aptos Narrow"/>
        <family val="2"/>
        <scheme val="minor"/>
      </rPr>
      <t>"mejora en rapidez y consistencia"</t>
    </r>
    <r>
      <rPr>
        <sz val="11"/>
        <color theme="1"/>
        <rFont val="Aptos Narrow"/>
        <family val="2"/>
        <scheme val="minor"/>
      </rPr>
      <t>.</t>
    </r>
  </si>
  <si>
    <r>
      <t xml:space="preserve">La propuesta utiliza "transformaciones de modelos" y se basa en el </t>
    </r>
    <r>
      <rPr>
        <b/>
        <sz val="11"/>
        <color theme="1"/>
        <rFont val="Aptos Narrow"/>
        <family val="2"/>
        <scheme val="minor"/>
      </rPr>
      <t>"INGENIAS Development Kit"</t>
    </r>
    <r>
      <rPr>
        <sz val="11"/>
        <color theme="1"/>
        <rFont val="Aptos Narrow"/>
        <family val="2"/>
        <scheme val="minor"/>
      </rPr>
      <t>. Se discute la integración dentro de este ecosistema de desarrollo específico y su aplicabilidad a "entornos ágiles".</t>
    </r>
  </si>
  <si>
    <r>
      <t xml:space="preserve">La reproducibilidad es moderada. Aunque el método se describe, la PI4 señala una fuerte </t>
    </r>
    <r>
      <rPr>
        <b/>
        <sz val="11"/>
        <color theme="1"/>
        <rFont val="Aptos Narrow"/>
        <family val="2"/>
        <scheme val="minor"/>
      </rPr>
      <t>"dependencia de herramientas específicas (INGENIAS, MTGenerator)"</t>
    </r>
    <r>
      <rPr>
        <sz val="11"/>
        <color theme="1"/>
        <rFont val="Aptos Narrow"/>
        <family val="2"/>
        <scheme val="minor"/>
      </rPr>
      <t>, lo que puede dificultar la replicación para quienes no tienen acceso a ellas.</t>
    </r>
  </si>
  <si>
    <t>A218</t>
  </si>
  <si>
    <t>La metodología es una "propuesta metodológica" con un "estudio empírico limitado". Es un enfoque de investigación constructivo y sistemático.</t>
  </si>
  <si>
    <r>
      <t xml:space="preserve">El resumen de la PI4 es explícito: la validación está </t>
    </r>
    <r>
      <rPr>
        <b/>
        <sz val="11"/>
        <color theme="1"/>
        <rFont val="Aptos Narrow"/>
        <family val="2"/>
        <scheme val="minor"/>
      </rPr>
      <t>"limitada a escenarios simulados"</t>
    </r>
    <r>
      <rPr>
        <sz val="11"/>
        <color theme="1"/>
        <rFont val="Aptos Narrow"/>
        <family val="2"/>
        <scheme val="minor"/>
      </rPr>
      <t xml:space="preserve"> y hay una </t>
    </r>
    <r>
      <rPr>
        <b/>
        <sz val="11"/>
        <color theme="1"/>
        <rFont val="Aptos Narrow"/>
        <family val="2"/>
        <scheme val="minor"/>
      </rPr>
      <t>"ausencia de validación en proyectos industriales reales"</t>
    </r>
    <r>
      <rPr>
        <sz val="11"/>
        <color theme="1"/>
        <rFont val="Aptos Narrow"/>
        <family val="2"/>
        <scheme val="minor"/>
      </rPr>
      <t>. El contexto no es un proyecto real.</t>
    </r>
  </si>
  <si>
    <r>
      <t xml:space="preserve">Se reportan beneficios como la </t>
    </r>
    <r>
      <rPr>
        <b/>
        <sz val="11"/>
        <color theme="1"/>
        <rFont val="Aptos Narrow"/>
        <family val="2"/>
        <scheme val="minor"/>
      </rPr>
      <t>"asistencia a usuarios en tiempo real"</t>
    </r>
    <r>
      <rPr>
        <sz val="11"/>
        <color theme="1"/>
        <rFont val="Aptos Narrow"/>
        <family val="2"/>
        <scheme val="minor"/>
      </rPr>
      <t xml:space="preserve"> y la </t>
    </r>
    <r>
      <rPr>
        <b/>
        <sz val="11"/>
        <color theme="1"/>
        <rFont val="Aptos Narrow"/>
        <family val="2"/>
        <scheme val="minor"/>
      </rPr>
      <t>"reducción de errores"</t>
    </r>
    <r>
      <rPr>
        <sz val="11"/>
        <color theme="1"/>
        <rFont val="Aptos Narrow"/>
        <family val="2"/>
        <scheme val="minor"/>
      </rPr>
      <t>. Al provenir de un estudio empírico, aunque sea simulado, se considera una evidencia de impacto válida para ese contexto.</t>
    </r>
  </si>
  <si>
    <r>
      <t xml:space="preserve">Se discute la integración en el flujo de trabajo del usuario. La PI4 incluso señala como desafío la </t>
    </r>
    <r>
      <rPr>
        <b/>
        <sz val="11"/>
        <color theme="1"/>
        <rFont val="Aptos Narrow"/>
        <family val="2"/>
        <scheme val="minor"/>
      </rPr>
      <t>"complejidad de integrar la predicción en herramientas estándar"</t>
    </r>
    <r>
      <rPr>
        <sz val="11"/>
        <color theme="1"/>
        <rFont val="Aptos Narrow"/>
        <family val="2"/>
        <scheme val="minor"/>
      </rPr>
      <t>, lo que demuestra que la integración es un tema de consideración central.</t>
    </r>
  </si>
  <si>
    <t>La reproducibilidad es alta. El estudio detalla los modelos utilizados (modelos de Markov) y se basa en "escenarios simulados", lo que permite que el experimento pueda ser definido con precisión y replicado por otros.</t>
  </si>
  <si>
    <t>A219</t>
  </si>
  <si>
    <t>La metodología es un "estudio empírico con simulación" que aplica un modelo de Decisión de Markov. Es un enfoque de investigación cuantitativo, riguroso y sistemático.</t>
  </si>
  <si>
    <r>
      <t xml:space="preserve">El resumen de la PI4 es explícito: la validación está </t>
    </r>
    <r>
      <rPr>
        <b/>
        <sz val="11"/>
        <color theme="1"/>
        <rFont val="Aptos Narrow"/>
        <family val="2"/>
        <scheme val="minor"/>
      </rPr>
      <t>"limitada a simulaciones, sin estudios en contextos industriales reales"</t>
    </r>
    <r>
      <rPr>
        <sz val="11"/>
        <color theme="1"/>
        <rFont val="Aptos Narrow"/>
        <family val="2"/>
        <scheme val="minor"/>
      </rPr>
      <t>. El contexto no es un proyecto real.</t>
    </r>
  </si>
  <si>
    <r>
      <t xml:space="preserve">Se reportan beneficios como la capacidad de </t>
    </r>
    <r>
      <rPr>
        <b/>
        <sz val="11"/>
        <color theme="1"/>
        <rFont val="Aptos Narrow"/>
        <family val="2"/>
        <scheme val="minor"/>
      </rPr>
      <t>"balancear componentes"</t>
    </r>
    <r>
      <rPr>
        <sz val="11"/>
        <color theme="1"/>
        <rFont val="Aptos Narrow"/>
        <family val="2"/>
        <scheme val="minor"/>
      </rPr>
      <t xml:space="preserve"> y </t>
    </r>
    <r>
      <rPr>
        <b/>
        <sz val="11"/>
        <color theme="1"/>
        <rFont val="Aptos Narrow"/>
        <family val="2"/>
        <scheme val="minor"/>
      </rPr>
      <t>"reducir la duración total del proyecto"</t>
    </r>
    <r>
      <rPr>
        <sz val="11"/>
        <color theme="1"/>
        <rFont val="Aptos Narrow"/>
        <family val="2"/>
        <scheme val="minor"/>
      </rPr>
      <t>. Al provenir de un estudio con simulación, se considera una evidencia de impacto válida para ese contexto.</t>
    </r>
  </si>
  <si>
    <t>La propuesta se centra en la "planificación y scheduling" de proyectos. Se discute la integración en el flujo de trabajo de gestión a nivel de proceso, aunque no se detalla la integración con herramientas específicas.</t>
  </si>
  <si>
    <t>La reproducibilidad es alta. El estudio detalla las técnicas (SARSA, Q-Learning) y el entorno de simulación, lo que permite que el experimento pueda ser definido con precisión y replicado por otros.</t>
  </si>
  <si>
    <t>A220</t>
  </si>
  <si>
    <t>La metodología, "Simulación basada en agentes + Aprendizaje por Refuerzo", es un enfoque de investigación cuantitativo, riguroso y sistemático.</t>
  </si>
  <si>
    <r>
      <t xml:space="preserve">La validación tiene un alto grado de realismo. La PI4 indica que es una </t>
    </r>
    <r>
      <rPr>
        <b/>
        <sz val="11"/>
        <color theme="1"/>
        <rFont val="Aptos Narrow"/>
        <family val="2"/>
        <scheme val="minor"/>
      </rPr>
      <t>"simulación calibrada en un único caso industrial (SAP)"</t>
    </r>
    <r>
      <rPr>
        <sz val="11"/>
        <color theme="1"/>
        <rFont val="Aptos Narrow"/>
        <family val="2"/>
        <scheme val="minor"/>
      </rPr>
      <t>. Utilizar datos industriales para calibrar un modelo es una validación muy sólida.</t>
    </r>
  </si>
  <si>
    <r>
      <t xml:space="preserve">Se reportan beneficios claros dentro del entorno de la simulación: demuestra que </t>
    </r>
    <r>
      <rPr>
        <b/>
        <sz val="11"/>
        <color theme="1"/>
        <rFont val="Aptos Narrow"/>
        <family val="2"/>
        <scheme val="minor"/>
      </rPr>
      <t>"recompensas de equipo promueven cooperación"</t>
    </r>
    <r>
      <rPr>
        <sz val="11"/>
        <color theme="1"/>
        <rFont val="Aptos Narrow"/>
        <family val="2"/>
        <scheme val="minor"/>
      </rPr>
      <t xml:space="preserve"> y </t>
    </r>
    <r>
      <rPr>
        <b/>
        <sz val="11"/>
        <color theme="1"/>
        <rFont val="Aptos Narrow"/>
        <family val="2"/>
        <scheme val="minor"/>
      </rPr>
      <t>"mayor eficiencia en flujo de desarrollo"</t>
    </r>
    <r>
      <rPr>
        <sz val="11"/>
        <color theme="1"/>
        <rFont val="Aptos Narrow"/>
        <family val="2"/>
        <scheme val="minor"/>
      </rPr>
      <t>. Es una evidencia de impacto válida en su contexto.</t>
    </r>
  </si>
  <si>
    <t>El modelo simula "backlogs interdependientes en SAP" y la "resolución de dependencias". Se discute la integración a nivel de los procesos de desarrollo Lean/Agile a gran escala, no de herramientas específicas.</t>
  </si>
  <si>
    <r>
      <t xml:space="preserve">La reproducibilidad es baja. La PI4 señala la </t>
    </r>
    <r>
      <rPr>
        <b/>
        <sz val="11"/>
        <color theme="1"/>
        <rFont val="Aptos Narrow"/>
        <family val="2"/>
        <scheme val="minor"/>
      </rPr>
      <t>"complejidad de parametrización del modelo"</t>
    </r>
    <r>
      <rPr>
        <sz val="11"/>
        <color theme="1"/>
        <rFont val="Aptos Narrow"/>
        <family val="2"/>
        <scheme val="minor"/>
      </rPr>
      <t xml:space="preserve"> y que está calibrado en un caso industrial, lo que implica datos privados. Esto dificulta una replicación exacta del experimento.</t>
    </r>
  </si>
  <si>
    <t>A221</t>
  </si>
  <si>
    <t>La metodología es una "propuesta metodológica" (el marco ALTA) con una "validación empírica". Es un enfoque de investigación cuantitativo, riguroso y sistemático.</t>
  </si>
  <si>
    <r>
      <t xml:space="preserve">La validación se realiza sobre </t>
    </r>
    <r>
      <rPr>
        <b/>
        <sz val="11"/>
        <color theme="1"/>
        <rFont val="Aptos Narrow"/>
        <family val="2"/>
        <scheme val="minor"/>
      </rPr>
      <t>"software open-source de distintos tamaños (GDownloader, JPCAP, Lucene)"</t>
    </r>
    <r>
      <rPr>
        <sz val="11"/>
        <color theme="1"/>
        <rFont val="Aptos Narrow"/>
        <family val="2"/>
        <scheme val="minor"/>
      </rPr>
      <t>. Es un contexto de proyecto real y relevante, que cumple con el estándar de validación sobre datos de código abierto.</t>
    </r>
  </si>
  <si>
    <r>
      <t xml:space="preserve">Se reporta evidencia de impacto: </t>
    </r>
    <r>
      <rPr>
        <b/>
        <sz val="11"/>
        <color theme="1"/>
        <rFont val="Aptos Narrow"/>
        <family val="2"/>
        <scheme val="minor"/>
      </rPr>
      <t>"predicción precisa de defectos en etapas tempranas"</t>
    </r>
    <r>
      <rPr>
        <sz val="11"/>
        <color theme="1"/>
        <rFont val="Aptos Narrow"/>
        <family val="2"/>
        <scheme val="minor"/>
      </rPr>
      <t xml:space="preserve"> y </t>
    </r>
    <r>
      <rPr>
        <b/>
        <sz val="11"/>
        <color theme="1"/>
        <rFont val="Aptos Narrow"/>
        <family val="2"/>
        <scheme val="minor"/>
      </rPr>
      <t>"reducción de costos asociados a la calidad"</t>
    </r>
    <r>
      <rPr>
        <sz val="11"/>
        <color theme="1"/>
        <rFont val="Aptos Narrow"/>
        <family val="2"/>
        <scheme val="minor"/>
      </rPr>
      <t>. Al ser un estudio empírico, esta evidencia está respaldada por los resultados del experimento.</t>
    </r>
  </si>
  <si>
    <r>
      <t xml:space="preserve">La integración en el ecosistema ágil se discute como una posibilidad futura. La PI5 menciona el </t>
    </r>
    <r>
      <rPr>
        <b/>
        <sz val="11"/>
        <color theme="1"/>
        <rFont val="Aptos Narrow"/>
        <family val="2"/>
        <scheme val="minor"/>
      </rPr>
      <t>"interés en integrar predicción de defectos con frameworks ágiles de CI/CD"</t>
    </r>
    <r>
      <rPr>
        <sz val="11"/>
        <color theme="1"/>
        <rFont val="Aptos Narrow"/>
        <family val="2"/>
        <scheme val="minor"/>
      </rPr>
      <t>, pero no es algo que se haya implementado o validado en el estudio.</t>
    </r>
  </si>
  <si>
    <t>La reproducibilidad es máxima. El estudio detalla las técnicas híbridas (LS-SVM + QPSO) y utiliza datasets de proyectos de código abierto públicos, lo que permite una replicación directa del experimento.</t>
  </si>
  <si>
    <t>A222</t>
  </si>
  <si>
    <t>La metodología es una "propuesta metodológica" validada con un "estudio de caso". Es un enfoque de investigación riguroso, sistemático y aplicado.</t>
  </si>
  <si>
    <r>
      <t xml:space="preserve">El estudio se valida en un </t>
    </r>
    <r>
      <rPr>
        <b/>
        <sz val="11"/>
        <color theme="1"/>
        <rFont val="Aptos Narrow"/>
        <family val="2"/>
        <scheme val="minor"/>
      </rPr>
      <t>sistema industrial real</t>
    </r>
    <r>
      <rPr>
        <sz val="11"/>
        <color theme="1"/>
        <rFont val="Aptos Narrow"/>
        <family val="2"/>
        <scheme val="minor"/>
      </rPr>
      <t xml:space="preserve"> (el OCS de Springer). Representa el máximo nivel de validación en un entorno de producción.</t>
    </r>
  </si>
  <si>
    <r>
      <t xml:space="preserve">Se reportan múltiples evidencias de impacto en el proceso de QA: </t>
    </r>
    <r>
      <rPr>
        <b/>
        <sz val="11"/>
        <color theme="1"/>
        <rFont val="Aptos Narrow"/>
        <family val="2"/>
        <scheme val="minor"/>
      </rPr>
      <t>"permite detectar errores y feature interactions"</t>
    </r>
    <r>
      <rPr>
        <sz val="11"/>
        <color theme="1"/>
        <rFont val="Aptos Narrow"/>
        <family val="2"/>
        <scheme val="minor"/>
      </rPr>
      <t xml:space="preserve">, </t>
    </r>
    <r>
      <rPr>
        <b/>
        <sz val="11"/>
        <color theme="1"/>
        <rFont val="Aptos Narrow"/>
        <family val="2"/>
        <scheme val="minor"/>
      </rPr>
      <t>"facilita diagnósticos inmediatos"</t>
    </r>
    <r>
      <rPr>
        <sz val="11"/>
        <color theme="1"/>
        <rFont val="Aptos Narrow"/>
        <family val="2"/>
        <scheme val="minor"/>
      </rPr>
      <t xml:space="preserve"> y </t>
    </r>
    <r>
      <rPr>
        <b/>
        <sz val="11"/>
        <color theme="1"/>
        <rFont val="Aptos Narrow"/>
        <family val="2"/>
        <scheme val="minor"/>
      </rPr>
      <t>"mejora cobertura de pruebas"</t>
    </r>
    <r>
      <rPr>
        <sz val="11"/>
        <color theme="1"/>
        <rFont val="Aptos Narrow"/>
        <family val="2"/>
        <scheme val="minor"/>
      </rPr>
      <t>.</t>
    </r>
  </si>
  <si>
    <r>
      <t xml:space="preserve">La integración es el tema central. La propuesta se enfoca en el "QA continuo" y la PI5 menciona explícitamente la </t>
    </r>
    <r>
      <rPr>
        <b/>
        <sz val="11"/>
        <color theme="1"/>
        <rFont val="Aptos Narrow"/>
        <family val="2"/>
        <scheme val="minor"/>
      </rPr>
      <t>"integración de monitoreo con frameworks CI/CD"</t>
    </r>
    <r>
      <rPr>
        <sz val="11"/>
        <color theme="1"/>
        <rFont val="Aptos Narrow"/>
        <family val="2"/>
        <scheme val="minor"/>
      </rPr>
      <t>, un pilar del ecosistema ágil.</t>
    </r>
  </si>
  <si>
    <t>La reproducibilidad es baja. Al ser un estudio de caso validado en un único sistema industrial (OCS de Springer), los datos y el contexto son privados, lo que dificulta una replicación directa del estudio.</t>
  </si>
  <si>
    <t>A223</t>
  </si>
  <si>
    <t>La metodología es una "propuesta metodológica" que se valida experimentalmente. Es un enfoque de investigación cuantitativo, riguroso y sistemático.</t>
  </si>
  <si>
    <r>
      <t xml:space="preserve">La validación está explícitamente </t>
    </r>
    <r>
      <rPr>
        <b/>
        <sz val="11"/>
        <color theme="1"/>
        <rFont val="Aptos Narrow"/>
        <family val="2"/>
        <scheme val="minor"/>
      </rPr>
      <t>"restringida a datasets públicos (PROMISE y NASA)"</t>
    </r>
    <r>
      <rPr>
        <sz val="11"/>
        <color theme="1"/>
        <rFont val="Aptos Narrow"/>
        <family val="2"/>
        <scheme val="minor"/>
      </rPr>
      <t>, según la PI4. No se aplica en un contexto de proyecto industrial o en vivo.</t>
    </r>
  </si>
  <si>
    <r>
      <t xml:space="preserve">Se proporciona evidencia de impacto cuantitativa y explícita: </t>
    </r>
    <r>
      <rPr>
        <b/>
        <sz val="11"/>
        <color theme="1"/>
        <rFont val="Aptos Narrow"/>
        <family val="2"/>
        <scheme val="minor"/>
      </rPr>
      <t>"reducción significativa de esfuerzo estimado (entre 8% y 28%)"</t>
    </r>
    <r>
      <rPr>
        <sz val="11"/>
        <color theme="1"/>
        <rFont val="Aptos Narrow"/>
        <family val="2"/>
        <scheme val="minor"/>
      </rPr>
      <t xml:space="preserve"> y </t>
    </r>
    <r>
      <rPr>
        <b/>
        <sz val="11"/>
        <color theme="1"/>
        <rFont val="Aptos Narrow"/>
        <family val="2"/>
        <scheme val="minor"/>
      </rPr>
      <t>"mayor precisión en estimación"</t>
    </r>
    <r>
      <rPr>
        <sz val="11"/>
        <color theme="1"/>
        <rFont val="Aptos Narrow"/>
        <family val="2"/>
        <scheme val="minor"/>
      </rPr>
      <t>.</t>
    </r>
  </si>
  <si>
    <t>El estudio se centra en mejorar un modelo de estimación (Agile COCOMO II), pero no discute su integración en herramientas o flujos de trabajo ágiles. La PI5 menciona la integración con CI/CD como una proyección a futuro.</t>
  </si>
  <si>
    <t>La reproducibilidad es máxima. El uso de un modelo conocido (COCOMO II), una herramienta pública (Weka) y datasets públicos (PROMISE, NASA) permite una replicación directa del experimento.</t>
  </si>
  <si>
    <t>A224</t>
  </si>
  <si>
    <t>La metodología es una "propuesta metodológica" que se acompaña de "experimentos de validación". Es un enfoque de investigación constructivo y sistemático.</t>
  </si>
  <si>
    <r>
      <t xml:space="preserve">El resumen de la PI4 es explícito: </t>
    </r>
    <r>
      <rPr>
        <b/>
        <sz val="11"/>
        <color theme="1"/>
        <rFont val="Aptos Narrow"/>
        <family val="2"/>
        <scheme val="minor"/>
      </rPr>
      <t>"ausencia de validaciones industriales"</t>
    </r>
    <r>
      <rPr>
        <sz val="11"/>
        <color theme="1"/>
        <rFont val="Aptos Narrow"/>
        <family val="2"/>
        <scheme val="minor"/>
      </rPr>
      <t>. La validación se realiza a nivel de laboratorio o académico, no en un proyecto real.</t>
    </r>
  </si>
  <si>
    <r>
      <t xml:space="preserve">Se reportan evidencias de impacto a partir de los experimentos: </t>
    </r>
    <r>
      <rPr>
        <b/>
        <sz val="11"/>
        <color theme="1"/>
        <rFont val="Aptos Narrow"/>
        <family val="2"/>
        <scheme val="minor"/>
      </rPr>
      <t>"optimización automática de NFRs"</t>
    </r>
    <r>
      <rPr>
        <sz val="11"/>
        <color theme="1"/>
        <rFont val="Aptos Narrow"/>
        <family val="2"/>
        <scheme val="minor"/>
      </rPr>
      <t xml:space="preserve">, </t>
    </r>
    <r>
      <rPr>
        <b/>
        <sz val="11"/>
        <color theme="1"/>
        <rFont val="Aptos Narrow"/>
        <family val="2"/>
        <scheme val="minor"/>
      </rPr>
      <t>"reducción del esfuerzo manual del diseñador"</t>
    </r>
    <r>
      <rPr>
        <sz val="11"/>
        <color theme="1"/>
        <rFont val="Aptos Narrow"/>
        <family val="2"/>
        <scheme val="minor"/>
      </rPr>
      <t xml:space="preserve"> y </t>
    </r>
    <r>
      <rPr>
        <b/>
        <sz val="11"/>
        <color theme="1"/>
        <rFont val="Aptos Narrow"/>
        <family val="2"/>
        <scheme val="minor"/>
      </rPr>
      <t>"mayor productividad"</t>
    </r>
    <r>
      <rPr>
        <sz val="11"/>
        <color theme="1"/>
        <rFont val="Aptos Narrow"/>
        <family val="2"/>
        <scheme val="minor"/>
      </rPr>
      <t>.</t>
    </r>
  </si>
  <si>
    <t>El sistema de recomendación está diseñado para integrarse en el "diseño y desarrollo de sistemas". La PI5 menciona la "integración de sistemas recomendadores en la gestión de NFRs dentro de procesos ágiles" como una tendencia, lo que indica que es un tema central pero conceptual.</t>
  </si>
  <si>
    <t>La reproducibilidad es moderada. Aunque el método experimental se describe, la PI4 señala como desafío la "complejidad de definir contextos formales adecuados", lo que podría dificultar una replicación exacta.</t>
  </si>
  <si>
    <t>A225</t>
  </si>
  <si>
    <t>La metodología es una "propuesta metodológica" con "validación experimental", un enfoque de investigación constructivo y sistemático.</t>
  </si>
  <si>
    <r>
      <t xml:space="preserve">El resumen de la PI4 es explícito: la validación está </t>
    </r>
    <r>
      <rPr>
        <b/>
        <sz val="11"/>
        <color theme="1"/>
        <rFont val="Aptos Narrow"/>
        <family val="2"/>
        <scheme val="minor"/>
      </rPr>
      <t>"restringida a entornos académicos, sin pruebas en proyectos comerciales de gran escala"</t>
    </r>
    <r>
      <rPr>
        <sz val="11"/>
        <color theme="1"/>
        <rFont val="Aptos Narrow"/>
        <family val="2"/>
        <scheme val="minor"/>
      </rPr>
      <t>.</t>
    </r>
  </si>
  <si>
    <r>
      <t xml:space="preserve">Se reportan evidencias de impacto a partir de la validación experimental: </t>
    </r>
    <r>
      <rPr>
        <b/>
        <sz val="11"/>
        <color theme="1"/>
        <rFont val="Aptos Narrow"/>
        <family val="2"/>
        <scheme val="minor"/>
      </rPr>
      <t>"reduce el esfuerzo manual de testing"</t>
    </r>
    <r>
      <rPr>
        <sz val="11"/>
        <color theme="1"/>
        <rFont val="Aptos Narrow"/>
        <family val="2"/>
        <scheme val="minor"/>
      </rPr>
      <t xml:space="preserve">, </t>
    </r>
    <r>
      <rPr>
        <b/>
        <sz val="11"/>
        <color theme="1"/>
        <rFont val="Aptos Narrow"/>
        <family val="2"/>
        <scheme val="minor"/>
      </rPr>
      <t>"mejora la confiabilidad"</t>
    </r>
    <r>
      <rPr>
        <sz val="11"/>
        <color theme="1"/>
        <rFont val="Aptos Narrow"/>
        <family val="2"/>
        <scheme val="minor"/>
      </rPr>
      <t xml:space="preserve"> y </t>
    </r>
    <r>
      <rPr>
        <b/>
        <sz val="11"/>
        <color theme="1"/>
        <rFont val="Aptos Narrow"/>
        <family val="2"/>
        <scheme val="minor"/>
      </rPr>
      <t>"acelera ciclos de entrega"</t>
    </r>
    <r>
      <rPr>
        <sz val="11"/>
        <color theme="1"/>
        <rFont val="Aptos Narrow"/>
        <family val="2"/>
        <scheme val="minor"/>
      </rPr>
      <t>.</t>
    </r>
  </si>
  <si>
    <r>
      <t xml:space="preserve">La propuesta está diseñada para "ciclos ágiles de desarrollo móvil", y la PI5 menciona explícitamente la </t>
    </r>
    <r>
      <rPr>
        <b/>
        <sz val="11"/>
        <color theme="1"/>
        <rFont val="Aptos Narrow"/>
        <family val="2"/>
        <scheme val="minor"/>
      </rPr>
      <t>"integración con CI/CD en desarrollo ágil"</t>
    </r>
    <r>
      <rPr>
        <sz val="11"/>
        <color theme="1"/>
        <rFont val="Aptos Narrow"/>
        <family val="2"/>
        <scheme val="minor"/>
      </rPr>
      <t>, lo que demuestra una fuerte consideración por el ecosistema.</t>
    </r>
  </si>
  <si>
    <r>
      <t xml:space="preserve">La reproducibilidad es moderada. Aunque el método se describe, la PI4 señala una </t>
    </r>
    <r>
      <rPr>
        <b/>
        <sz val="11"/>
        <color theme="1"/>
        <rFont val="Aptos Narrow"/>
        <family val="2"/>
        <scheme val="minor"/>
      </rPr>
      <t>"dependencia de herramientas de minería de datos específicas"</t>
    </r>
    <r>
      <rPr>
        <sz val="11"/>
        <color theme="1"/>
        <rFont val="Aptos Narrow"/>
        <family val="2"/>
        <scheme val="minor"/>
      </rPr>
      <t>, lo que podría dificultar la replicación si las herramientas no son públicas.</t>
    </r>
  </si>
  <si>
    <t>A226</t>
  </si>
  <si>
    <r>
      <t xml:space="preserve">La validación está </t>
    </r>
    <r>
      <rPr>
        <b/>
        <sz val="11"/>
        <color theme="1"/>
        <rFont val="Aptos Narrow"/>
        <family val="2"/>
        <scheme val="minor"/>
      </rPr>
      <t>"restringida a un prototipo con 60 usuarios"</t>
    </r>
    <r>
      <rPr>
        <sz val="11"/>
        <color theme="1"/>
        <rFont val="Aptos Narrow"/>
        <family val="2"/>
        <scheme val="minor"/>
      </rPr>
      <t xml:space="preserve"> y carece de "evidencia industrial a gran escala". Es una validación en un entorno controlado, no en un proyecto real.</t>
    </r>
  </si>
  <si>
    <r>
      <t xml:space="preserve">Se reportan evidencias de impacto a partir de la validación experimental: </t>
    </r>
    <r>
      <rPr>
        <b/>
        <sz val="11"/>
        <color theme="1"/>
        <rFont val="Aptos Narrow"/>
        <family val="2"/>
        <scheme val="minor"/>
      </rPr>
      <t>"Mejora en personalización y eficiencia en acceso a recursos"</t>
    </r>
    <r>
      <rPr>
        <sz val="11"/>
        <color theme="1"/>
        <rFont val="Aptos Narrow"/>
        <family val="2"/>
        <scheme val="minor"/>
      </rPr>
      <t xml:space="preserve"> y </t>
    </r>
    <r>
      <rPr>
        <b/>
        <sz val="11"/>
        <color theme="1"/>
        <rFont val="Aptos Narrow"/>
        <family val="2"/>
        <scheme val="minor"/>
      </rPr>
      <t>"reducción de tiempos de búsqueda"</t>
    </r>
    <r>
      <rPr>
        <sz val="11"/>
        <color theme="1"/>
        <rFont val="Aptos Narrow"/>
        <family val="2"/>
        <scheme val="minor"/>
      </rPr>
      <t>.</t>
    </r>
  </si>
  <si>
    <r>
      <t xml:space="preserve">El estudio integra IA con una </t>
    </r>
    <r>
      <rPr>
        <b/>
        <sz val="11"/>
        <color theme="1"/>
        <rFont val="Aptos Narrow"/>
        <family val="2"/>
        <scheme val="minor"/>
      </rPr>
      <t>"arquitectura full-stack MVC de Ruby on Rails"</t>
    </r>
    <r>
      <rPr>
        <sz val="11"/>
        <color theme="1"/>
        <rFont val="Aptos Narrow"/>
        <family val="2"/>
        <scheme val="minor"/>
      </rPr>
      <t xml:space="preserve"> y menciona el uso de "métodos ágiles para reducir el ciclo de desarrollo". La integración en el ecosistema de desarrollo es una parte central.</t>
    </r>
  </si>
  <si>
    <t>La reproducibilidad es moderada. Aunque se describen las técnicas (filtrado colaborativo, K-means) y la arquitectura, la PI4 señala la "complejidad en definir métricas de calidad de recomendaciones", lo que puede dificultar una replicación exacta de los resultados.</t>
  </si>
  <si>
    <t>A227</t>
  </si>
  <si>
    <t>La metodología es una "propuesta metodológica" que incluye una "validación mediante expertos", un enfoque de investigación cualitativo y sistemático.</t>
  </si>
  <si>
    <r>
      <t xml:space="preserve">La validación se limita a la opinión de expertos. El resumen de la PI4 es claro: </t>
    </r>
    <r>
      <rPr>
        <b/>
        <sz val="11"/>
        <color theme="1"/>
        <rFont val="Aptos Narrow"/>
        <family val="2"/>
        <scheme val="minor"/>
      </rPr>
      <t>"falta de validaciones empíricas en proyectos reales"</t>
    </r>
    <r>
      <rPr>
        <sz val="11"/>
        <color theme="1"/>
        <rFont val="Aptos Narrow"/>
        <family val="2"/>
        <scheme val="minor"/>
      </rPr>
      <t>. No se aplica en un contexto de proyecto.</t>
    </r>
  </si>
  <si>
    <r>
      <t xml:space="preserve">Se enumeran beneficios potenciales como la </t>
    </r>
    <r>
      <rPr>
        <b/>
        <sz val="11"/>
        <color theme="1"/>
        <rFont val="Aptos Narrow"/>
        <family val="2"/>
        <scheme val="minor"/>
      </rPr>
      <t>"reducción del tiempo de desarrollo"</t>
    </r>
    <r>
      <rPr>
        <sz val="11"/>
        <color theme="1"/>
        <rFont val="Aptos Narrow"/>
        <family val="2"/>
        <scheme val="minor"/>
      </rPr>
      <t xml:space="preserve"> y el </t>
    </r>
    <r>
      <rPr>
        <b/>
        <sz val="11"/>
        <color theme="1"/>
        <rFont val="Aptos Narrow"/>
        <family val="2"/>
        <scheme val="minor"/>
      </rPr>
      <t>"soporte en toma de decisiones"</t>
    </r>
    <r>
      <rPr>
        <sz val="11"/>
        <color theme="1"/>
        <rFont val="Aptos Narrow"/>
        <family val="2"/>
        <scheme val="minor"/>
      </rPr>
      <t>. Sin embargo, al no haber validación empírica, no hay evidencia que respalde estas afirmaciones.</t>
    </r>
  </si>
  <si>
    <r>
      <t xml:space="preserve">La integración es el tema central. El estudio propone un </t>
    </r>
    <r>
      <rPr>
        <b/>
        <sz val="11"/>
        <color theme="1"/>
        <rFont val="Aptos Narrow"/>
        <family val="2"/>
        <scheme val="minor"/>
      </rPr>
      <t>"marco híbrido RUP + Scrum"</t>
    </r>
    <r>
      <rPr>
        <sz val="11"/>
        <color theme="1"/>
        <rFont val="Aptos Narrow"/>
        <family val="2"/>
        <scheme val="minor"/>
      </rPr>
      <t xml:space="preserve"> y cómo la técnica de IA (CBR) se integra en este para adaptar las prácticas ágiles.</t>
    </r>
  </si>
  <si>
    <r>
      <t xml:space="preserve">La reproducibilidad es moderada. Aunque se presenta un modelo conceptual, la PI4 señala la </t>
    </r>
    <r>
      <rPr>
        <b/>
        <sz val="11"/>
        <color theme="1"/>
        <rFont val="Aptos Narrow"/>
        <family val="2"/>
        <scheme val="minor"/>
      </rPr>
      <t>"necesidad de estandarizar cómo se representan y almacenan los casos"</t>
    </r>
    <r>
      <rPr>
        <sz val="11"/>
        <color theme="1"/>
        <rFont val="Aptos Narrow"/>
        <family val="2"/>
        <scheme val="minor"/>
      </rPr>
      <t>, lo que podría dificultar una replicación consistente.</t>
    </r>
  </si>
  <si>
    <t>A228</t>
  </si>
  <si>
    <t>La metodología es una "propuesta metodológica" validada con un "caso de estudio", un enfoque de investigación aplicado, riguroso y sistemático.</t>
  </si>
  <si>
    <t>La validación se realiza en un caso de estudio real pero de alcance limitado y académico (ensamblaje de un producto con Raspberry Pi). No es un proyecto de software industrial.</t>
  </si>
  <si>
    <r>
      <t xml:space="preserve">Se reportan evidencias cualitativas de impacto observadas en el caso de estudio: </t>
    </r>
    <r>
      <rPr>
        <b/>
        <sz val="11"/>
        <color theme="1"/>
        <rFont val="Aptos Narrow"/>
        <family val="2"/>
        <scheme val="minor"/>
      </rPr>
      <t>"escalabilidad"</t>
    </r>
    <r>
      <rPr>
        <sz val="11"/>
        <color theme="1"/>
        <rFont val="Aptos Narrow"/>
        <family val="2"/>
        <scheme val="minor"/>
      </rPr>
      <t xml:space="preserve">, </t>
    </r>
    <r>
      <rPr>
        <b/>
        <sz val="11"/>
        <color theme="1"/>
        <rFont val="Aptos Narrow"/>
        <family val="2"/>
        <scheme val="minor"/>
      </rPr>
      <t>"soporte a trabajo remoto"</t>
    </r>
    <r>
      <rPr>
        <sz val="11"/>
        <color theme="1"/>
        <rFont val="Aptos Narrow"/>
        <family val="2"/>
        <scheme val="minor"/>
      </rPr>
      <t xml:space="preserve"> y </t>
    </r>
    <r>
      <rPr>
        <b/>
        <sz val="11"/>
        <color theme="1"/>
        <rFont val="Aptos Narrow"/>
        <family val="2"/>
        <scheme val="minor"/>
      </rPr>
      <t>"mayor adaptabilidad"</t>
    </r>
    <r>
      <rPr>
        <sz val="11"/>
        <color theme="1"/>
        <rFont val="Aptos Narrow"/>
        <family val="2"/>
        <scheme val="minor"/>
      </rPr>
      <t>.</t>
    </r>
  </si>
  <si>
    <r>
      <t xml:space="preserve">La propuesta está implementada en una plataforma específica (JADE) y se discute su </t>
    </r>
    <r>
      <rPr>
        <b/>
        <sz val="11"/>
        <color theme="1"/>
        <rFont val="Aptos Narrow"/>
        <family val="2"/>
        <scheme val="minor"/>
      </rPr>
      <t>"integración con IoT"</t>
    </r>
    <r>
      <rPr>
        <sz val="11"/>
        <color theme="1"/>
        <rFont val="Aptos Narrow"/>
        <family val="2"/>
        <scheme val="minor"/>
      </rPr>
      <t>. Esto demuestra una consideración detallada por la integración en un ecosistema técnico, aunque no sea el de herramientas ágiles tradicionales.</t>
    </r>
  </si>
  <si>
    <r>
      <t xml:space="preserve">La reproducibilidad es baja. El resumen de la PI4 señala una fuerte </t>
    </r>
    <r>
      <rPr>
        <b/>
        <sz val="11"/>
        <color theme="1"/>
        <rFont val="Aptos Narrow"/>
        <family val="2"/>
        <scheme val="minor"/>
      </rPr>
      <t>"dependencia de JADE y plataformas específicas"</t>
    </r>
    <r>
      <rPr>
        <sz val="11"/>
        <color theme="1"/>
        <rFont val="Aptos Narrow"/>
        <family val="2"/>
        <scheme val="minor"/>
      </rPr>
      <t>, lo que dificulta significativamente la replicación del estudio para quienes no utilicen dicho ecosistema.</t>
    </r>
  </si>
  <si>
    <t>A229</t>
  </si>
  <si>
    <t>La metodología es un "estudio empírico en entorno industrial", un enfoque de investigación aplicado, riguroso y muy valorado.</t>
  </si>
  <si>
    <r>
      <t xml:space="preserve">El estudio se desarrolla en un </t>
    </r>
    <r>
      <rPr>
        <b/>
        <sz val="11"/>
        <color theme="1"/>
        <rFont val="Aptos Narrow"/>
        <family val="2"/>
        <scheme val="minor"/>
      </rPr>
      <t>"proyecto industrial grande (100K LOC, 60 desarrolladores)"</t>
    </r>
    <r>
      <rPr>
        <sz val="11"/>
        <color theme="1"/>
        <rFont val="Aptos Narrow"/>
        <family val="2"/>
        <scheme val="minor"/>
      </rPr>
      <t>. Representa el máximo nivel de validación en un contexto de proyecto real.</t>
    </r>
  </si>
  <si>
    <r>
      <t xml:space="preserve">Se proporciona evidencia cuantitativa explícita y de muy alto impacto: </t>
    </r>
    <r>
      <rPr>
        <b/>
        <sz val="11"/>
        <color theme="1"/>
        <rFont val="Aptos Narrow"/>
        <family val="2"/>
        <scheme val="minor"/>
      </rPr>
      <t>"logrando detectar 80% de errores al revisar solo 30% del código"</t>
    </r>
    <r>
      <rPr>
        <sz val="11"/>
        <color theme="1"/>
        <rFont val="Aptos Narrow"/>
        <family val="2"/>
        <scheme val="minor"/>
      </rPr>
      <t>. Adicionalmente, reporta mejoras cualitativas en la comunicación.</t>
    </r>
  </si>
  <si>
    <r>
      <t xml:space="preserve">La solución se integra profundamente con el ecosistema de herramientas ágiles, utilizando datos de </t>
    </r>
    <r>
      <rPr>
        <b/>
        <sz val="11"/>
        <color theme="1"/>
        <rFont val="Aptos Narrow"/>
        <family val="2"/>
        <scheme val="minor"/>
      </rPr>
      <t>"repositorios de control de versiones, issue tracking, code reviews"</t>
    </r>
    <r>
      <rPr>
        <sz val="11"/>
        <color theme="1"/>
        <rFont val="Aptos Narrow"/>
        <family val="2"/>
        <scheme val="minor"/>
      </rPr>
      <t xml:space="preserve"> para alimentar los predictores de defectos.</t>
    </r>
  </si>
  <si>
    <t>La reproducibilidad es baja. Al ser un estudio de caso industrial, los datos específicos del proyecto son privados, lo que impide una replicación directa del experimento por parte de otros investigadores.</t>
  </si>
  <si>
    <t>A230</t>
  </si>
  <si>
    <t>La metodología consiste en el desarrollo de una "herramienta" con un "estudio de caso" para su validación, un enfoque de investigación constructivo, riguroso y sistemático.</t>
  </si>
  <si>
    <r>
      <t xml:space="preserve">La validación se limita a un caso de estudio con un "controlador de crucero y ejercicios de usabilidad". La PI4 es clara al señalar que está </t>
    </r>
    <r>
      <rPr>
        <b/>
        <sz val="11"/>
        <color theme="1"/>
        <rFont val="Aptos Narrow"/>
        <family val="2"/>
        <scheme val="minor"/>
      </rPr>
      <t>"limitado a validaciones académicas"</t>
    </r>
    <r>
      <rPr>
        <sz val="11"/>
        <color theme="1"/>
        <rFont val="Aptos Narrow"/>
        <family val="2"/>
        <scheme val="minor"/>
      </rPr>
      <t xml:space="preserve"> y carece de evidencia industrial.</t>
    </r>
  </si>
  <si>
    <r>
      <t xml:space="preserve">Se reporta evidencia de impacto a partir de la validación: </t>
    </r>
    <r>
      <rPr>
        <b/>
        <sz val="11"/>
        <color theme="1"/>
        <rFont val="Aptos Narrow"/>
        <family val="2"/>
        <scheme val="minor"/>
      </rPr>
      <t>"detectar errores de seguridad y liveness"</t>
    </r>
    <r>
      <rPr>
        <sz val="11"/>
        <color theme="1"/>
        <rFont val="Aptos Narrow"/>
        <family val="2"/>
        <scheme val="minor"/>
      </rPr>
      <t xml:space="preserve">, </t>
    </r>
    <r>
      <rPr>
        <b/>
        <sz val="11"/>
        <color theme="1"/>
        <rFont val="Aptos Narrow"/>
        <family val="2"/>
        <scheme val="minor"/>
      </rPr>
      <t>"reducir esfuerzo manual"</t>
    </r>
    <r>
      <rPr>
        <sz val="11"/>
        <color theme="1"/>
        <rFont val="Aptos Narrow"/>
        <family val="2"/>
        <scheme val="minor"/>
      </rPr>
      <t xml:space="preserve"> y </t>
    </r>
    <r>
      <rPr>
        <b/>
        <sz val="11"/>
        <color theme="1"/>
        <rFont val="Aptos Narrow"/>
        <family val="2"/>
        <scheme val="minor"/>
      </rPr>
      <t>"asegurar QA continuo"</t>
    </r>
    <r>
      <rPr>
        <sz val="11"/>
        <color theme="1"/>
        <rFont val="Aptos Narrow"/>
        <family val="2"/>
        <scheme val="minor"/>
      </rPr>
      <t>.</t>
    </r>
  </si>
  <si>
    <r>
      <t xml:space="preserve">La herramienta está diseñada para el "testing de requisitos". La PI5 discute explícitamente el </t>
    </r>
    <r>
      <rPr>
        <b/>
        <sz val="11"/>
        <color theme="1"/>
        <rFont val="Aptos Narrow"/>
        <family val="2"/>
        <scheme val="minor"/>
      </rPr>
      <t>"potencial de integración con ciclos ágiles"</t>
    </r>
    <r>
      <rPr>
        <sz val="11"/>
        <color theme="1"/>
        <rFont val="Aptos Narrow"/>
        <family val="2"/>
        <scheme val="minor"/>
      </rPr>
      <t xml:space="preserve"> y la </t>
    </r>
    <r>
      <rPr>
        <b/>
        <sz val="11"/>
        <color theme="1"/>
        <rFont val="Aptos Narrow"/>
        <family val="2"/>
        <scheme val="minor"/>
      </rPr>
      <t>"integración... con pipelines de CI/CD"</t>
    </r>
    <r>
      <rPr>
        <sz val="11"/>
        <color theme="1"/>
        <rFont val="Aptos Narrow"/>
        <family val="2"/>
        <scheme val="minor"/>
      </rPr>
      <t>, demostrando una fuerte consideración por el ecosistema.</t>
    </r>
  </si>
  <si>
    <t>La reproducibilidad es moderada. Aunque se describen las técnicas (IKL, NuSMV), el estudio se centra en una herramienta específica (LBTest) que puede no ser pública. El método conceptual es replicable.</t>
  </si>
  <si>
    <t>A231</t>
  </si>
  <si>
    <t>La metodología es una "propuesta metodológica" validada con un "estudio de caso limitado". Es un enfoque de investigación constructivo y sistemático.</t>
  </si>
  <si>
    <r>
      <t xml:space="preserve">La validación se limita a </t>
    </r>
    <r>
      <rPr>
        <b/>
        <sz val="11"/>
        <color theme="1"/>
        <rFont val="Aptos Narrow"/>
        <family val="2"/>
        <scheme val="minor"/>
      </rPr>
      <t>"un único caso académico"</t>
    </r>
    <r>
      <rPr>
        <sz val="11"/>
        <color theme="1"/>
        <rFont val="Aptos Narrow"/>
        <family val="2"/>
        <scheme val="minor"/>
      </rPr>
      <t xml:space="preserve"> con un "equipo reducido". Según nuestra rúbrica, no se considera un contexto de proyecto real (industrial u open-source).</t>
    </r>
  </si>
  <si>
    <r>
      <t xml:space="preserve">Se reporta evidencia de impacto a partir del caso de estudio: </t>
    </r>
    <r>
      <rPr>
        <b/>
        <sz val="11"/>
        <color theme="1"/>
        <rFont val="Aptos Narrow"/>
        <family val="2"/>
        <scheme val="minor"/>
      </rPr>
      <t>"detección temprana de inconsistencias"</t>
    </r>
    <r>
      <rPr>
        <sz val="11"/>
        <color theme="1"/>
        <rFont val="Aptos Narrow"/>
        <family val="2"/>
        <scheme val="minor"/>
      </rPr>
      <t xml:space="preserve">, </t>
    </r>
    <r>
      <rPr>
        <b/>
        <sz val="11"/>
        <color theme="1"/>
        <rFont val="Aptos Narrow"/>
        <family val="2"/>
        <scheme val="minor"/>
      </rPr>
      <t>"mayor visibilidad para todo el equipo"</t>
    </r>
    <r>
      <rPr>
        <sz val="11"/>
        <color theme="1"/>
        <rFont val="Aptos Narrow"/>
        <family val="2"/>
        <scheme val="minor"/>
      </rPr>
      <t xml:space="preserve"> y </t>
    </r>
    <r>
      <rPr>
        <b/>
        <sz val="11"/>
        <color theme="1"/>
        <rFont val="Aptos Narrow"/>
        <family val="2"/>
        <scheme val="minor"/>
      </rPr>
      <t>"reducción de errores de implementación"</t>
    </r>
    <r>
      <rPr>
        <sz val="11"/>
        <color theme="1"/>
        <rFont val="Aptos Narrow"/>
        <family val="2"/>
        <scheme val="minor"/>
      </rPr>
      <t>.</t>
    </r>
  </si>
  <si>
    <r>
      <t xml:space="preserve">La integración es un pilar del estudio. La herramienta está diseñada para </t>
    </r>
    <r>
      <rPr>
        <b/>
        <sz val="11"/>
        <color theme="1"/>
        <rFont val="Aptos Narrow"/>
        <family val="2"/>
        <scheme val="minor"/>
      </rPr>
      <t>"integrarse con prácticas ágiles como SCRUM y XP"</t>
    </r>
    <r>
      <rPr>
        <sz val="11"/>
        <color theme="1"/>
        <rFont val="Aptos Narrow"/>
        <family val="2"/>
        <scheme val="minor"/>
      </rPr>
      <t xml:space="preserve"> y utiliza elementos como </t>
    </r>
    <r>
      <rPr>
        <b/>
        <sz val="11"/>
        <color theme="1"/>
        <rFont val="Aptos Narrow"/>
        <family val="2"/>
        <scheme val="minor"/>
      </rPr>
      <t>"visualizaciones Kanban"</t>
    </r>
    <r>
      <rPr>
        <sz val="11"/>
        <color theme="1"/>
        <rFont val="Aptos Narrow"/>
        <family val="2"/>
        <scheme val="minor"/>
      </rPr>
      <t>, demostrando un acoplamiento total con el ecosistema ágil.</t>
    </r>
  </si>
  <si>
    <r>
      <t xml:space="preserve">La reproducibilidad es baja. La PI4 señala varias barreras, como </t>
    </r>
    <r>
      <rPr>
        <b/>
        <sz val="11"/>
        <color theme="1"/>
        <rFont val="Aptos Narrow"/>
        <family val="2"/>
        <scheme val="minor"/>
      </rPr>
      <t>"escalabilidad incierta"</t>
    </r>
    <r>
      <rPr>
        <sz val="11"/>
        <color theme="1"/>
        <rFont val="Aptos Narrow"/>
        <family val="2"/>
        <scheme val="minor"/>
      </rPr>
      <t xml:space="preserve">, </t>
    </r>
    <r>
      <rPr>
        <b/>
        <sz val="11"/>
        <color theme="1"/>
        <rFont val="Aptos Narrow"/>
        <family val="2"/>
        <scheme val="minor"/>
      </rPr>
      <t>"barreras lingüísticas (interfaz en portugués)"</t>
    </r>
    <r>
      <rPr>
        <sz val="11"/>
        <color theme="1"/>
        <rFont val="Aptos Narrow"/>
        <family val="2"/>
        <scheme val="minor"/>
      </rPr>
      <t xml:space="preserve"> y </t>
    </r>
    <r>
      <rPr>
        <b/>
        <sz val="11"/>
        <color theme="1"/>
        <rFont val="Aptos Narrow"/>
        <family val="2"/>
        <scheme val="minor"/>
      </rPr>
      <t>"falta de integración con control de versiones"</t>
    </r>
    <r>
      <rPr>
        <sz val="11"/>
        <color theme="1"/>
        <rFont val="Aptos Narrow"/>
        <family val="2"/>
        <scheme val="minor"/>
      </rPr>
      <t>, que dificultan su replicación.</t>
    </r>
  </si>
  <si>
    <t>A232</t>
  </si>
  <si>
    <t>La metodología es una "propuesta metodológica" que utiliza un enfoque de método formal. Es un enfoque de investigación constructivo y sistemático.</t>
  </si>
  <si>
    <r>
      <t xml:space="preserve">La validación está explícitamente </t>
    </r>
    <r>
      <rPr>
        <b/>
        <sz val="11"/>
        <color theme="1"/>
        <rFont val="Aptos Narrow"/>
        <family val="2"/>
        <scheme val="minor"/>
      </rPr>
      <t>"restringida a prototipos y simulaciones"</t>
    </r>
    <r>
      <rPr>
        <sz val="11"/>
        <color theme="1"/>
        <rFont val="Aptos Narrow"/>
        <family val="2"/>
        <scheme val="minor"/>
      </rPr>
      <t>, según la PI4, y carece de "evidencia en proyectos industriales amplios". El contexto no es un proyecto real.</t>
    </r>
  </si>
  <si>
    <r>
      <t xml:space="preserve">Se reportan beneficios como la </t>
    </r>
    <r>
      <rPr>
        <b/>
        <sz val="11"/>
        <color theme="1"/>
        <rFont val="Aptos Narrow"/>
        <family val="2"/>
        <scheme val="minor"/>
      </rPr>
      <t>"adaptación dinámica"</t>
    </r>
    <r>
      <rPr>
        <sz val="11"/>
        <color theme="1"/>
        <rFont val="Aptos Narrow"/>
        <family val="2"/>
        <scheme val="minor"/>
      </rPr>
      <t xml:space="preserve"> y la </t>
    </r>
    <r>
      <rPr>
        <b/>
        <sz val="11"/>
        <color theme="1"/>
        <rFont val="Aptos Narrow"/>
        <family val="2"/>
        <scheme val="minor"/>
      </rPr>
      <t>"mejora en resiliencia"</t>
    </r>
    <r>
      <rPr>
        <sz val="11"/>
        <color theme="1"/>
        <rFont val="Aptos Narrow"/>
        <family val="2"/>
        <scheme val="minor"/>
      </rPr>
      <t>. Al provenir de un estudio con simulación, se considera una evidencia de impacto válida para ese contexto.</t>
    </r>
  </si>
  <si>
    <r>
      <t xml:space="preserve">La propuesta se enfoca en la "verificación continua" y la PI5 señala una </t>
    </r>
    <r>
      <rPr>
        <b/>
        <sz val="11"/>
        <color theme="1"/>
        <rFont val="Aptos Narrow"/>
        <family val="2"/>
        <scheme val="minor"/>
      </rPr>
      <t>"proyección hacia CI/CD y DevOps"</t>
    </r>
    <r>
      <rPr>
        <sz val="11"/>
        <color theme="1"/>
        <rFont val="Aptos Narrow"/>
        <family val="2"/>
        <scheme val="minor"/>
      </rPr>
      <t>. La integración se discute a nivel de proceso, aunque como una aplicación futura.</t>
    </r>
  </si>
  <si>
    <r>
      <t xml:space="preserve">La reproducibilidad es moderada. Aunque el método es formal (ASP, InstAL), la PI4 destaca la </t>
    </r>
    <r>
      <rPr>
        <b/>
        <sz val="11"/>
        <color theme="1"/>
        <rFont val="Aptos Narrow"/>
        <family val="2"/>
        <scheme val="minor"/>
      </rPr>
      <t>"complejidad de especificación formal"</t>
    </r>
    <r>
      <rPr>
        <sz val="11"/>
        <color theme="1"/>
        <rFont val="Aptos Narrow"/>
        <family val="2"/>
        <scheme val="minor"/>
      </rPr>
      <t xml:space="preserve"> y una </t>
    </r>
    <r>
      <rPr>
        <b/>
        <sz val="11"/>
        <color theme="1"/>
        <rFont val="Aptos Narrow"/>
        <family val="2"/>
        <scheme val="minor"/>
      </rPr>
      <t>"curva de aprendizaje pronunciada"</t>
    </r>
    <r>
      <rPr>
        <sz val="11"/>
        <color theme="1"/>
        <rFont val="Aptos Narrow"/>
        <family val="2"/>
        <scheme val="minor"/>
      </rPr>
      <t>, lo que puede dificultar su replicación.</t>
    </r>
  </si>
  <si>
    <t>A233</t>
  </si>
  <si>
    <t>La metodología es una "propuesta metodológica" con "experimentos iniciales". Es un enfoque de investigación constructivo y sistemático.</t>
  </si>
  <si>
    <r>
      <t xml:space="preserve">La validación se limita a "experimentos iniciales". El resumen de la PI4 es claro al señalar la </t>
    </r>
    <r>
      <rPr>
        <b/>
        <sz val="11"/>
        <color theme="1"/>
        <rFont val="Aptos Narrow"/>
        <family val="2"/>
        <scheme val="minor"/>
      </rPr>
      <t>"falta de validación en proyectos industriales grandes"</t>
    </r>
    <r>
      <rPr>
        <sz val="11"/>
        <color theme="1"/>
        <rFont val="Aptos Narrow"/>
        <family val="2"/>
        <scheme val="minor"/>
      </rPr>
      <t>.</t>
    </r>
  </si>
  <si>
    <r>
      <t xml:space="preserve">Se reportan beneficios como la capacidad de </t>
    </r>
    <r>
      <rPr>
        <b/>
        <sz val="11"/>
        <color theme="1"/>
        <rFont val="Aptos Narrow"/>
        <family val="2"/>
        <scheme val="minor"/>
      </rPr>
      <t>"automatizar análisis de satisfacción mínima de metas"</t>
    </r>
    <r>
      <rPr>
        <sz val="11"/>
        <color theme="1"/>
        <rFont val="Aptos Narrow"/>
        <family val="2"/>
        <scheme val="minor"/>
      </rPr>
      <t xml:space="preserve"> y </t>
    </r>
    <r>
      <rPr>
        <b/>
        <sz val="11"/>
        <color theme="1"/>
        <rFont val="Aptos Narrow"/>
        <family val="2"/>
        <scheme val="minor"/>
      </rPr>
      <t>"explorar trade-offs entre atributos de calidad"</t>
    </r>
    <r>
      <rPr>
        <sz val="11"/>
        <color theme="1"/>
        <rFont val="Aptos Narrow"/>
        <family val="2"/>
        <scheme val="minor"/>
      </rPr>
      <t>. Es una evidencia de impacto válida en el contexto experimental.</t>
    </r>
  </si>
  <si>
    <r>
      <t xml:space="preserve">La propuesta discute el uso de "semantic wikis" y la PI5 proyecta la </t>
    </r>
    <r>
      <rPr>
        <b/>
        <sz val="11"/>
        <color theme="1"/>
        <rFont val="Aptos Narrow"/>
        <family val="2"/>
        <scheme val="minor"/>
      </rPr>
      <t>"integración con CI/CD y DevOps"</t>
    </r>
    <r>
      <rPr>
        <sz val="11"/>
        <color theme="1"/>
        <rFont val="Aptos Narrow"/>
        <family val="2"/>
        <scheme val="minor"/>
      </rPr>
      <t>. La integración en el flujo de trabajo de diseño y planificación es un tema central, aunque conceptual.</t>
    </r>
  </si>
  <si>
    <r>
      <t xml:space="preserve">La reproducibilidad es baja. La PI4 señala una </t>
    </r>
    <r>
      <rPr>
        <b/>
        <sz val="11"/>
        <color theme="1"/>
        <rFont val="Aptos Narrow"/>
        <family val="2"/>
        <scheme val="minor"/>
      </rPr>
      <t>"fuerte dependencia de la adquisición manual de requisitos"</t>
    </r>
    <r>
      <rPr>
        <sz val="11"/>
        <color theme="1"/>
        <rFont val="Aptos Narrow"/>
        <family val="2"/>
        <scheme val="minor"/>
      </rPr>
      <t xml:space="preserve"> y la </t>
    </r>
    <r>
      <rPr>
        <b/>
        <sz val="11"/>
        <color theme="1"/>
        <rFont val="Aptos Narrow"/>
        <family val="2"/>
        <scheme val="minor"/>
      </rPr>
      <t>"escalabilidad limitada de algoritmos NP-completos"</t>
    </r>
    <r>
      <rPr>
        <sz val="11"/>
        <color theme="1"/>
        <rFont val="Aptos Narrow"/>
        <family val="2"/>
        <scheme val="minor"/>
      </rPr>
      <t>, lo que dificulta la replicación del enfoque en nuevos problemas.</t>
    </r>
  </si>
  <si>
    <t>A234</t>
  </si>
  <si>
    <t>La metodología es una "propuesta metodológica" que incluye un "sistema prototipo" y utiliza "simulación híbrida, Monte Carlo y ML". Es un enfoque de investigación cuantitativo, riguroso y sistemático.</t>
  </si>
  <si>
    <r>
      <t xml:space="preserve">El resumen de la PI4 es explícito: la validación está </t>
    </r>
    <r>
      <rPr>
        <b/>
        <sz val="11"/>
        <color theme="1"/>
        <rFont val="Aptos Narrow"/>
        <family val="2"/>
        <scheme val="minor"/>
      </rPr>
      <t>"limitada a escenarios académicos; falta evidencia industrial a gran escala"</t>
    </r>
    <r>
      <rPr>
        <sz val="11"/>
        <color theme="1"/>
        <rFont val="Aptos Narrow"/>
        <family val="2"/>
        <scheme val="minor"/>
      </rPr>
      <t>. El contexto no es un proyecto real.</t>
    </r>
  </si>
  <si>
    <r>
      <t xml:space="preserve">Se reportan beneficios como la </t>
    </r>
    <r>
      <rPr>
        <b/>
        <sz val="11"/>
        <color theme="1"/>
        <rFont val="Aptos Narrow"/>
        <family val="2"/>
        <scheme val="minor"/>
      </rPr>
      <t>"mejora [en] precisión en predicción de tiempo y costo"</t>
    </r>
    <r>
      <rPr>
        <sz val="11"/>
        <color theme="1"/>
        <rFont val="Aptos Narrow"/>
        <family val="2"/>
        <scheme val="minor"/>
      </rPr>
      <t xml:space="preserve"> y la </t>
    </r>
    <r>
      <rPr>
        <b/>
        <sz val="11"/>
        <color theme="1"/>
        <rFont val="Aptos Narrow"/>
        <family val="2"/>
        <scheme val="minor"/>
      </rPr>
      <t>"reducción de defectos críticos"</t>
    </r>
    <r>
      <rPr>
        <sz val="11"/>
        <color theme="1"/>
        <rFont val="Aptos Narrow"/>
        <family val="2"/>
        <scheme val="minor"/>
      </rPr>
      <t>. Al provenir de un estudio con simulación, se considera una evidencia de impacto válida para ese contexto.</t>
    </r>
  </si>
  <si>
    <t>La propuesta integra "Lean Six Sigma" con "metodologías ágiles (Scrum, XP, Kanban)". La PI5 también menciona la integración con "CI/CD". La integración en el flujo de trabajo es un tema central.</t>
  </si>
  <si>
    <t>La reproducibilidad es alta. El estudio detalla las técnicas (Simulación Monte Carlo, ML) y un enfoque basado en modelos, lo que permite que el experimento de simulación sea replicado por otros.</t>
  </si>
  <si>
    <t>A235</t>
  </si>
  <si>
    <r>
      <t xml:space="preserve">La metodología de validación es muy robusta, combinando un </t>
    </r>
    <r>
      <rPr>
        <b/>
        <sz val="11"/>
        <color theme="1"/>
        <rFont val="Aptos Narrow"/>
        <family val="2"/>
        <scheme val="minor"/>
      </rPr>
      <t>"experimento controlado, revisión de expertos y estudio de caso"</t>
    </r>
    <r>
      <rPr>
        <sz val="11"/>
        <color theme="1"/>
        <rFont val="Aptos Narrow"/>
        <family val="2"/>
        <scheme val="minor"/>
      </rPr>
      <t>. Es un enfoque de investigación multifacético y de alto rigor.</t>
    </r>
  </si>
  <si>
    <r>
      <t xml:space="preserve">La validación incluye un "estudio de caso", pero el resumen de la PI4 es claro al señalar que fue en </t>
    </r>
    <r>
      <rPr>
        <b/>
        <sz val="11"/>
        <color theme="1"/>
        <rFont val="Aptos Narrow"/>
        <family val="2"/>
        <scheme val="minor"/>
      </rPr>
      <t>"contextos limitados"</t>
    </r>
    <r>
      <rPr>
        <sz val="11"/>
        <color theme="1"/>
        <rFont val="Aptos Narrow"/>
        <family val="2"/>
        <scheme val="minor"/>
      </rPr>
      <t>. No alcanza el nivel de un estudio industrial a gran escala.</t>
    </r>
  </si>
  <si>
    <r>
      <t xml:space="preserve">Se proporciona evidencia de impacto a partir de la validación experimental y el caso de estudio. El resumen afirma que </t>
    </r>
    <r>
      <rPr>
        <b/>
        <sz val="11"/>
        <color theme="1"/>
        <rFont val="Aptos Narrow"/>
        <family val="2"/>
        <scheme val="minor"/>
      </rPr>
      <t>"Demuestra beneficios en seguridad, reducción de costos, satisfacción del cliente"</t>
    </r>
    <r>
      <rPr>
        <sz val="11"/>
        <color theme="1"/>
        <rFont val="Aptos Narrow"/>
        <family val="2"/>
        <scheme val="minor"/>
      </rPr>
      <t>.</t>
    </r>
  </si>
  <si>
    <r>
      <t xml:space="preserve">La integración es el tema central. La propuesta consiste en integrar la IA (CBR) </t>
    </r>
    <r>
      <rPr>
        <b/>
        <sz val="11"/>
        <color theme="1"/>
        <rFont val="Aptos Narrow"/>
        <family val="2"/>
        <scheme val="minor"/>
      </rPr>
      <t>"en todas las fases de DSDM"</t>
    </r>
    <r>
      <rPr>
        <sz val="11"/>
        <color theme="1"/>
        <rFont val="Aptos Narrow"/>
        <family val="2"/>
        <scheme val="minor"/>
      </rPr>
      <t>, una metodología ágil específica, lo que implica una discusión profunda sobre la integración en el proceso.</t>
    </r>
  </si>
  <si>
    <t>La reproducibilidad es alta. La combinación de un framework propuesto (CBR-DSDM) y un experimento controlado sugiere que el enfoque está lo suficientemente detallado como para ser replicado.</t>
  </si>
  <si>
    <t>A236</t>
  </si>
  <si>
    <t>La metodología es una "propuesta metodológica" que incluye una "validación educativa". Es un enfoque de investigación-acción sistemático y reconocido en pedagogía.</t>
  </si>
  <si>
    <r>
      <t xml:space="preserve">La validación está explícitamente </t>
    </r>
    <r>
      <rPr>
        <b/>
        <sz val="11"/>
        <color theme="1"/>
        <rFont val="Aptos Narrow"/>
        <family val="2"/>
        <scheme val="minor"/>
      </rPr>
      <t>"restringida a entornos educativos"</t>
    </r>
    <r>
      <rPr>
        <sz val="11"/>
        <color theme="1"/>
        <rFont val="Aptos Narrow"/>
        <family val="2"/>
        <scheme val="minor"/>
      </rPr>
      <t>, según la PI4, y no ha sido probada en proyectos industriales.</t>
    </r>
  </si>
  <si>
    <r>
      <t xml:space="preserve">Se proporciona evidencia cuantitativa explícita y de alto impacto dentro de su contexto: </t>
    </r>
    <r>
      <rPr>
        <b/>
        <sz val="11"/>
        <color theme="1"/>
        <rFont val="Aptos Narrow"/>
        <family val="2"/>
        <scheme val="minor"/>
      </rPr>
      <t>"incrementa la calidad de user stories (74% frente a 21% con plantillas tradicionales)"</t>
    </r>
    <r>
      <rPr>
        <sz val="11"/>
        <color theme="1"/>
        <rFont val="Aptos Narrow"/>
        <family val="2"/>
        <scheme val="minor"/>
      </rPr>
      <t>.</t>
    </r>
  </si>
  <si>
    <r>
      <t xml:space="preserve">La propuesta de "Goal Net Modeling" se integra directamente en el flujo de trabajo de </t>
    </r>
    <r>
      <rPr>
        <b/>
        <sz val="11"/>
        <color theme="1"/>
        <rFont val="Aptos Narrow"/>
        <family val="2"/>
        <scheme val="minor"/>
      </rPr>
      <t>"captura y gestión de requisitos en proyectos ágiles (Scrum, AUP)"</t>
    </r>
    <r>
      <rPr>
        <sz val="11"/>
        <color theme="1"/>
        <rFont val="Aptos Narrow"/>
        <family val="2"/>
        <scheme val="minor"/>
      </rPr>
      <t>, mejorando artefactos clave como las historias de usuario.</t>
    </r>
  </si>
  <si>
    <t>La reproducibilidad es alta. El método se aplica en cursos universitarios, lo que sugiere que el enfoque está bien documentado y puede ser replicado en otros entornos educativos.</t>
  </si>
  <si>
    <t>A237</t>
  </si>
  <si>
    <t>La metodología es una "propuesta metodológica" con "validación experimental" mediante algoritmos genéticos. Es un enfoque de investigación cuantitativo, riguroso y sistemático.</t>
  </si>
  <si>
    <r>
      <t xml:space="preserve">El resumen de la PI4 es explícito: la validación está </t>
    </r>
    <r>
      <rPr>
        <b/>
        <sz val="11"/>
        <color theme="1"/>
        <rFont val="Aptos Narrow"/>
        <family val="2"/>
        <scheme val="minor"/>
      </rPr>
      <t>"restringida a simulaciones en Matlab"</t>
    </r>
    <r>
      <rPr>
        <sz val="11"/>
        <color theme="1"/>
        <rFont val="Aptos Narrow"/>
        <family val="2"/>
        <scheme val="minor"/>
      </rPr>
      <t>. No se aplica en un contexto de proyecto real, sino en un entorno de simulación.</t>
    </r>
  </si>
  <si>
    <r>
      <t xml:space="preserve">Se reportan beneficios como la capacidad de </t>
    </r>
    <r>
      <rPr>
        <b/>
        <sz val="11"/>
        <color theme="1"/>
        <rFont val="Aptos Narrow"/>
        <family val="2"/>
        <scheme val="minor"/>
      </rPr>
      <t>"maximizar valor temprano"</t>
    </r>
    <r>
      <rPr>
        <sz val="11"/>
        <color theme="1"/>
        <rFont val="Aptos Narrow"/>
        <family val="2"/>
        <scheme val="minor"/>
      </rPr>
      <t xml:space="preserve"> y </t>
    </r>
    <r>
      <rPr>
        <b/>
        <sz val="11"/>
        <color theme="1"/>
        <rFont val="Aptos Narrow"/>
        <family val="2"/>
        <scheme val="minor"/>
      </rPr>
      <t>"equilibrar restricciones"</t>
    </r>
    <r>
      <rPr>
        <sz val="11"/>
        <color theme="1"/>
        <rFont val="Aptos Narrow"/>
        <family val="2"/>
        <scheme val="minor"/>
      </rPr>
      <t>. Al provenir de un estudio con simulación, se considera una evidencia de impacto válida para ese contexto.</t>
    </r>
  </si>
  <si>
    <r>
      <t xml:space="preserve">La PI4 es clara al señalar la </t>
    </r>
    <r>
      <rPr>
        <b/>
        <sz val="11"/>
        <color theme="1"/>
        <rFont val="Aptos Narrow"/>
        <family val="2"/>
        <scheme val="minor"/>
      </rPr>
      <t>"falta [de] integración en proyectos industriales y herramientas ágiles reales"</t>
    </r>
    <r>
      <rPr>
        <sz val="11"/>
        <color theme="1"/>
        <rFont val="Aptos Narrow"/>
        <family val="2"/>
        <scheme val="minor"/>
      </rPr>
      <t>. No se discute la integración en el ecosistema.</t>
    </r>
  </si>
  <si>
    <t>La reproducibilidad es alta. El estudio detalla la técnica (algoritmos genéticos) y se valida mediante simulación, lo que permite que el experimento pueda ser definido con precisión y replicado por otros.</t>
  </si>
  <si>
    <t>A238</t>
  </si>
  <si>
    <t>La metodología es una "propuesta metodológica" (un método XP extendido) validada con un "caso educativo". Es un enfoque de investigación-acción sistemático.</t>
  </si>
  <si>
    <r>
      <t xml:space="preserve">La validación está explícitamente </t>
    </r>
    <r>
      <rPr>
        <b/>
        <sz val="11"/>
        <color theme="1"/>
        <rFont val="Aptos Narrow"/>
        <family val="2"/>
        <scheme val="minor"/>
      </rPr>
      <t>"restringida a entornos educativos"</t>
    </r>
    <r>
      <rPr>
        <sz val="11"/>
        <color theme="1"/>
        <rFont val="Aptos Narrow"/>
        <family val="2"/>
        <scheme val="minor"/>
      </rPr>
      <t>, según la PI4, y carece de validación en proyectos industriales.</t>
    </r>
  </si>
  <si>
    <r>
      <t xml:space="preserve">Se reportan evidencias de impacto cualitativo observadas en el caso de estudio, como </t>
    </r>
    <r>
      <rPr>
        <b/>
        <sz val="11"/>
        <color theme="1"/>
        <rFont val="Aptos Narrow"/>
        <family val="2"/>
        <scheme val="minor"/>
      </rPr>
      <t>"fomentar la innovación"</t>
    </r>
    <r>
      <rPr>
        <sz val="11"/>
        <color theme="1"/>
        <rFont val="Aptos Narrow"/>
        <family val="2"/>
        <scheme val="minor"/>
      </rPr>
      <t xml:space="preserve">, </t>
    </r>
    <r>
      <rPr>
        <b/>
        <sz val="11"/>
        <color theme="1"/>
        <rFont val="Aptos Narrow"/>
        <family val="2"/>
        <scheme val="minor"/>
      </rPr>
      <t>"mejorar la documentación"</t>
    </r>
    <r>
      <rPr>
        <sz val="11"/>
        <color theme="1"/>
        <rFont val="Aptos Narrow"/>
        <family val="2"/>
        <scheme val="minor"/>
      </rPr>
      <t xml:space="preserve"> y </t>
    </r>
    <r>
      <rPr>
        <b/>
        <sz val="11"/>
        <color theme="1"/>
        <rFont val="Aptos Narrow"/>
        <family val="2"/>
        <scheme val="minor"/>
      </rPr>
      <t>"facilitar la trazabilidad"</t>
    </r>
    <r>
      <rPr>
        <sz val="11"/>
        <color theme="1"/>
        <rFont val="Aptos Narrow"/>
        <family val="2"/>
        <scheme val="minor"/>
      </rPr>
      <t>.</t>
    </r>
  </si>
  <si>
    <r>
      <t xml:space="preserve">La propuesta integra herramientas de IA (brainstorming asistido, NLP para documentación) directamente en las fases del </t>
    </r>
    <r>
      <rPr>
        <b/>
        <sz val="11"/>
        <color theme="1"/>
        <rFont val="Aptos Narrow"/>
        <family val="2"/>
        <scheme val="minor"/>
      </rPr>
      <t>"ciclo XP extendido"</t>
    </r>
    <r>
      <rPr>
        <sz val="11"/>
        <color theme="1"/>
        <rFont val="Aptos Narrow"/>
        <family val="2"/>
        <scheme val="minor"/>
      </rPr>
      <t>, demostrando una fuerte consideración por la integración en el proceso.</t>
    </r>
  </si>
  <si>
    <r>
      <t xml:space="preserve">La reproducibilidad es moderada. Aunque el método se describe, la PI4 señala que las </t>
    </r>
    <r>
      <rPr>
        <b/>
        <sz val="11"/>
        <color theme="1"/>
        <rFont val="Aptos Narrow"/>
        <family val="2"/>
        <scheme val="minor"/>
      </rPr>
      <t>"herramientas [están] aún en desarrollo"</t>
    </r>
    <r>
      <rPr>
        <sz val="11"/>
        <color theme="1"/>
        <rFont val="Aptos Narrow"/>
        <family val="2"/>
        <scheme val="minor"/>
      </rPr>
      <t>, lo que podría dificultar una replicación exacta, si bien el enfoque pedagógico es replicable.</t>
    </r>
  </si>
  <si>
    <t>A239</t>
  </si>
  <si>
    <t>La metodología es una "propuesta metodológica" que incluye un "prototipo experimental". Es un enfoque de investigación constructivo y sistemático.</t>
  </si>
  <si>
    <t>La validación se realiza sobre un corpus de "3080 emails de un único proyecto editorial". Es un contexto de proyecto real, aunque limitado a un solo caso y con datos específicos.</t>
  </si>
  <si>
    <r>
      <t xml:space="preserve">Se reporta evidencia de impacto cuantitativa, aunque moderada: una </t>
    </r>
    <r>
      <rPr>
        <b/>
        <sz val="11"/>
        <color theme="1"/>
        <rFont val="Aptos Narrow"/>
        <family val="2"/>
        <scheme val="minor"/>
      </rPr>
      <t>"mejora moderada (7%) sobre búsqueda simple"</t>
    </r>
    <r>
      <rPr>
        <sz val="11"/>
        <color theme="1"/>
        <rFont val="Aptos Narrow"/>
        <family val="2"/>
        <scheme val="minor"/>
      </rPr>
      <t xml:space="preserve"> en la trazabilidad del conocimiento.</t>
    </r>
  </si>
  <si>
    <t>El estudio discute la integración a futuro con "herramientas de colaboración (Slack, Teams, Jira)", lo que demuestra que la integración en el ecosistema es una consideración central, aunque no esté implementada.</t>
  </si>
  <si>
    <r>
      <t xml:space="preserve">La reproducibilidad es baja. La PI4 señala la </t>
    </r>
    <r>
      <rPr>
        <b/>
        <sz val="11"/>
        <color theme="1"/>
        <rFont val="Aptos Narrow"/>
        <family val="2"/>
        <scheme val="minor"/>
      </rPr>
      <t>"complejidad de parametrización y etiquetado manual"</t>
    </r>
    <r>
      <rPr>
        <sz val="11"/>
        <color theme="1"/>
        <rFont val="Aptos Narrow"/>
        <family val="2"/>
        <scheme val="minor"/>
      </rPr>
      <t xml:space="preserve"> y el uso de un corpus de correos privado, lo que dificulta significativamente la replicación del estudio.</t>
    </r>
  </si>
  <si>
    <t>A240</t>
  </si>
  <si>
    <t>La metodología es un "estudio empírico" que propone un enfoque de "predicción a nivel de commit". Es un enfoque de investigación cuantitativo, riguroso y sistemático.</t>
  </si>
  <si>
    <t>La validación se realiza sobre un conjunto de datos masivo y real (26,009 commits del proyecto open-source Eclipse JDT). Es un contexto de proyecto realista y de gran escala.</t>
  </si>
  <si>
    <r>
      <t xml:space="preserve">Se proporciona evidencia cuantitativa explícita de impacto: </t>
    </r>
    <r>
      <rPr>
        <b/>
        <sz val="11"/>
        <color theme="1"/>
        <rFont val="Aptos Narrow"/>
        <family val="2"/>
        <scheme val="minor"/>
      </rPr>
      <t>"mejora la precisión y recall frente a modelos estáticos"</t>
    </r>
    <r>
      <rPr>
        <sz val="11"/>
        <color theme="1"/>
        <rFont val="Aptos Narrow"/>
        <family val="2"/>
        <scheme val="minor"/>
      </rPr>
      <t xml:space="preserve"> y permite </t>
    </r>
    <r>
      <rPr>
        <b/>
        <sz val="11"/>
        <color theme="1"/>
        <rFont val="Aptos Narrow"/>
        <family val="2"/>
        <scheme val="minor"/>
      </rPr>
      <t>"detectar commits defectuosos en tiempo real"</t>
    </r>
    <r>
      <rPr>
        <sz val="11"/>
        <color theme="1"/>
        <rFont val="Aptos Narrow"/>
        <family val="2"/>
        <scheme val="minor"/>
      </rPr>
      <t>. El impacto está claramente demostrado.</t>
    </r>
  </si>
  <si>
    <t>La propuesta está diseñada para contextos de "desarrollo ágil con commits frecuentes y ciclos de integración continua (CI/CD)". La integración en este ecosistema es una parte central del estudio.</t>
  </si>
  <si>
    <t>La reproducibilidad es alta. El estudio utiliza un dataset público (Eclipse JDT) y técnicas de ML estándar (OneR, J48), lo que facilita que el experimento sea replicado por otros investigadores.</t>
  </si>
  <si>
    <t>A241</t>
  </si>
  <si>
    <t>La metodología es una "propuesta metodológica" que incluye un "algoritmo implementado", lo cual es un enfoque de investigación constructivo y sistemático.</t>
  </si>
  <si>
    <r>
      <t xml:space="preserve">La validación está </t>
    </r>
    <r>
      <rPr>
        <b/>
        <sz val="11"/>
        <color theme="1"/>
        <rFont val="Aptos Narrow"/>
        <family val="2"/>
        <scheme val="minor"/>
      </rPr>
      <t>"restringida a un corpus pequeño de historias"</t>
    </r>
    <r>
      <rPr>
        <sz val="11"/>
        <color theme="1"/>
        <rFont val="Aptos Narrow"/>
        <family val="2"/>
        <scheme val="minor"/>
      </rPr>
      <t>, según la PI4. No se aplica en un contexto de proyecto industrial o a gran escala, sino a nivel de laboratorio.</t>
    </r>
  </si>
  <si>
    <r>
      <t xml:space="preserve">Se reportan evidencias claras de impacto en el proceso de modelado: </t>
    </r>
    <r>
      <rPr>
        <b/>
        <sz val="11"/>
        <color theme="1"/>
        <rFont val="Aptos Narrow"/>
        <family val="2"/>
        <scheme val="minor"/>
      </rPr>
      <t>"reduce esfuerzo manual y tiempo en el modelado"</t>
    </r>
    <r>
      <rPr>
        <sz val="11"/>
        <color theme="1"/>
        <rFont val="Aptos Narrow"/>
        <family val="2"/>
        <scheme val="minor"/>
      </rPr>
      <t xml:space="preserve"> y </t>
    </r>
    <r>
      <rPr>
        <b/>
        <sz val="11"/>
        <color theme="1"/>
        <rFont val="Aptos Narrow"/>
        <family val="2"/>
        <scheme val="minor"/>
      </rPr>
      <t>"mejora [la] consistencia de artefactos"</t>
    </r>
    <r>
      <rPr>
        <sz val="11"/>
        <color theme="1"/>
        <rFont val="Aptos Narrow"/>
        <family val="2"/>
        <scheme val="minor"/>
      </rPr>
      <t>.</t>
    </r>
  </si>
  <si>
    <r>
      <t>La propuesta se integra con una herramienta específica (</t>
    </r>
    <r>
      <rPr>
        <b/>
        <sz val="11"/>
        <color theme="1"/>
        <rFont val="Aptos Narrow"/>
        <family val="2"/>
        <scheme val="minor"/>
      </rPr>
      <t>"Eclipse UML2 SDK"</t>
    </r>
    <r>
      <rPr>
        <sz val="11"/>
        <color theme="1"/>
        <rFont val="Aptos Narrow"/>
        <family val="2"/>
        <scheme val="minor"/>
      </rPr>
      <t xml:space="preserve">), pero la PI4 señala una </t>
    </r>
    <r>
      <rPr>
        <b/>
        <sz val="11"/>
        <color theme="1"/>
        <rFont val="Aptos Narrow"/>
        <family val="2"/>
        <scheme val="minor"/>
      </rPr>
      <t>"falta de integración con herramientas industriales y pipelines CI/CD"</t>
    </r>
    <r>
      <rPr>
        <sz val="11"/>
        <color theme="1"/>
        <rFont val="Aptos Narrow"/>
        <family val="2"/>
        <scheme val="minor"/>
      </rPr>
      <t>, lo que limita su alcance en el ecosistema.</t>
    </r>
  </si>
  <si>
    <t>La reproducibilidad es moderada. Aunque se describe el enfoque (NLP, reglas sintácticas), la PI4 menciona que requiere que las historias de usuario sigan un formato estricto, lo que puede limitar su aplicabilidad general, pero el método es claro.</t>
  </si>
  <si>
    <t>A243</t>
  </si>
  <si>
    <t>La metodología es una "propuesta metodológica" con "validación experimental", un enfoque de investigación cuantitativo, riguroso y sistemático.</t>
  </si>
  <si>
    <r>
      <t xml:space="preserve">El resumen de la PI4 es explícito: la validación está </t>
    </r>
    <r>
      <rPr>
        <b/>
        <sz val="11"/>
        <color theme="1"/>
        <rFont val="Aptos Narrow"/>
        <family val="2"/>
        <scheme val="minor"/>
      </rPr>
      <t>"restringida a prototipos académicos en Matlab; falta de evidencia en proyectos industriales reales"</t>
    </r>
    <r>
      <rPr>
        <sz val="11"/>
        <color theme="1"/>
        <rFont val="Aptos Narrow"/>
        <family val="2"/>
        <scheme val="minor"/>
      </rPr>
      <t>.</t>
    </r>
  </si>
  <si>
    <r>
      <t xml:space="preserve">Se reporta evidencia de impacto a partir de la validación experimental: </t>
    </r>
    <r>
      <rPr>
        <b/>
        <sz val="11"/>
        <color theme="1"/>
        <rFont val="Aptos Narrow"/>
        <family val="2"/>
        <scheme val="minor"/>
      </rPr>
      <t>"mejora [en] precisión en detección de fallos"</t>
    </r>
    <r>
      <rPr>
        <sz val="11"/>
        <color theme="1"/>
        <rFont val="Aptos Narrow"/>
        <family val="2"/>
        <scheme val="minor"/>
      </rPr>
      <t xml:space="preserve"> y </t>
    </r>
    <r>
      <rPr>
        <b/>
        <sz val="11"/>
        <color theme="1"/>
        <rFont val="Aptos Narrow"/>
        <family val="2"/>
        <scheme val="minor"/>
      </rPr>
      <t>"reducción del tiempo de testing"</t>
    </r>
    <r>
      <rPr>
        <sz val="11"/>
        <color theme="1"/>
        <rFont val="Aptos Narrow"/>
        <family val="2"/>
        <scheme val="minor"/>
      </rPr>
      <t>.</t>
    </r>
  </si>
  <si>
    <r>
      <t xml:space="preserve">La propuesta se enfoca en el "testing ágil". La PI5 menciona una </t>
    </r>
    <r>
      <rPr>
        <b/>
        <sz val="11"/>
        <color theme="1"/>
        <rFont val="Aptos Narrow"/>
        <family val="2"/>
        <scheme val="minor"/>
      </rPr>
      <t>"proyección hacia integración en pipelines CI/CD"</t>
    </r>
    <r>
      <rPr>
        <sz val="11"/>
        <color theme="1"/>
        <rFont val="Aptos Narrow"/>
        <family val="2"/>
        <scheme val="minor"/>
      </rPr>
      <t>, lo que demuestra una consideración central por el ecosistema, aunque sea a nivel conceptual.</t>
    </r>
  </si>
  <si>
    <t>La reproducibilidad es alta. El estudio detalla la técnica (GA + Unsupervised Learning) y se valida mediante un prototipo en Matlab, lo que permite que el experimento sea definido con precisión y replicado.</t>
  </si>
  <si>
    <t>A244</t>
  </si>
  <si>
    <t>La metodología es una "propuesta metodológica" y de "reflexión", que presenta un nuevo paradigma. Es un enfoque conceptual para plantear ideas futuras.</t>
  </si>
  <si>
    <r>
      <t xml:space="preserve">El resumen de la PI4 es explícito: </t>
    </r>
    <r>
      <rPr>
        <b/>
        <sz val="11"/>
        <color theme="1"/>
        <rFont val="Aptos Narrow"/>
        <family val="2"/>
        <scheme val="minor"/>
      </rPr>
      <t>"falta de validación industrial"</t>
    </r>
    <r>
      <rPr>
        <sz val="11"/>
        <color theme="1"/>
        <rFont val="Aptos Narrow"/>
        <family val="2"/>
        <scheme val="minor"/>
      </rPr>
      <t>. La propuesta no se ha validado en ningún contexto práctico.</t>
    </r>
  </si>
  <si>
    <r>
      <t xml:space="preserve">Se describen beneficios potenciales como la </t>
    </r>
    <r>
      <rPr>
        <b/>
        <sz val="11"/>
        <color theme="1"/>
        <rFont val="Aptos Narrow"/>
        <family val="2"/>
        <scheme val="minor"/>
      </rPr>
      <t>"adaptación automática"</t>
    </r>
    <r>
      <rPr>
        <sz val="11"/>
        <color theme="1"/>
        <rFont val="Aptos Narrow"/>
        <family val="2"/>
        <scheme val="minor"/>
      </rPr>
      <t xml:space="preserve"> y la </t>
    </r>
    <r>
      <rPr>
        <b/>
        <sz val="11"/>
        <color theme="1"/>
        <rFont val="Aptos Narrow"/>
        <family val="2"/>
        <scheme val="minor"/>
      </rPr>
      <t>"integración genuina del humano en el loop"</t>
    </r>
    <r>
      <rPr>
        <sz val="11"/>
        <color theme="1"/>
        <rFont val="Aptos Narrow"/>
        <family val="2"/>
        <scheme val="minor"/>
      </rPr>
      <t>. Son beneficios teóricos de la visión propuesta, no respaldados por evidencia.</t>
    </r>
  </si>
  <si>
    <t>El nuevo paradigma propuesto ("Situ framework") vincula los "requisitos e intenciones al ciclo de vida" y tiene "potencial de combinarse con CI/CD y DevOps". La integración es un tema central a nivel conceptual.</t>
  </si>
  <si>
    <t>Al ser una propuesta de paradigma de alto nivel, el artículo describe ideas y conceptos, no un artefacto o método técnico que pueda ser replicado de manera sistemática.</t>
  </si>
  <si>
    <t>A245</t>
  </si>
  <si>
    <t>La metodología es una "propuesta metodológica" con el "desarrollo de un plugin experimental" que utiliza "minería de procesos". Es un enfoque de investigación constructivo y sistemático.</t>
  </si>
  <si>
    <r>
      <t xml:space="preserve">El resumen de la PI4 es explícito: la validación está </t>
    </r>
    <r>
      <rPr>
        <b/>
        <sz val="11"/>
        <color theme="1"/>
        <rFont val="Aptos Narrow"/>
        <family val="2"/>
        <scheme val="minor"/>
      </rPr>
      <t>"restringida a entornos académicos con prototipos; falta de pruebas en escenarios industriales"</t>
    </r>
    <r>
      <rPr>
        <sz val="11"/>
        <color theme="1"/>
        <rFont val="Aptos Narrow"/>
        <family val="2"/>
        <scheme val="minor"/>
      </rPr>
      <t>.</t>
    </r>
  </si>
  <si>
    <r>
      <t xml:space="preserve">Se reportan beneficios como la capacidad de </t>
    </r>
    <r>
      <rPr>
        <b/>
        <sz val="11"/>
        <color theme="1"/>
        <rFont val="Aptos Narrow"/>
        <family val="2"/>
        <scheme val="minor"/>
      </rPr>
      <t>"descubrir patrones de codificación"</t>
    </r>
    <r>
      <rPr>
        <sz val="11"/>
        <color theme="1"/>
        <rFont val="Aptos Narrow"/>
        <family val="2"/>
        <scheme val="minor"/>
      </rPr>
      <t xml:space="preserve">, </t>
    </r>
    <r>
      <rPr>
        <b/>
        <sz val="11"/>
        <color theme="1"/>
        <rFont val="Aptos Narrow"/>
        <family val="2"/>
        <scheme val="minor"/>
      </rPr>
      <t>"validar la conformidad con prácticas ágiles"</t>
    </r>
    <r>
      <rPr>
        <sz val="11"/>
        <color theme="1"/>
        <rFont val="Aptos Narrow"/>
        <family val="2"/>
        <scheme val="minor"/>
      </rPr>
      <t xml:space="preserve"> y </t>
    </r>
    <r>
      <rPr>
        <b/>
        <sz val="11"/>
        <color theme="1"/>
        <rFont val="Aptos Narrow"/>
        <family val="2"/>
        <scheme val="minor"/>
      </rPr>
      <t>"proporcionar dashboards de retroalimentación"</t>
    </r>
    <r>
      <rPr>
        <sz val="11"/>
        <color theme="1"/>
        <rFont val="Aptos Narrow"/>
        <family val="2"/>
        <scheme val="minor"/>
      </rPr>
      <t>. Es una evidencia de impacto válida en el contexto del prototipo.</t>
    </r>
  </si>
  <si>
    <r>
      <t xml:space="preserve">La integración es el tema central. La propuesta se basa en analizar </t>
    </r>
    <r>
      <rPr>
        <b/>
        <sz val="11"/>
        <color theme="1"/>
        <rFont val="Aptos Narrow"/>
        <family val="2"/>
        <scheme val="minor"/>
      </rPr>
      <t>"logs de IDEs (Eclipse)"</t>
    </r>
    <r>
      <rPr>
        <sz val="11"/>
        <color theme="1"/>
        <rFont val="Aptos Narrow"/>
        <family val="2"/>
        <scheme val="minor"/>
      </rPr>
      <t>, lo que significa una integración directa con la herramienta principal del desarrollador para monitorizar el flujo de trabajo.</t>
    </r>
  </si>
  <si>
    <r>
      <t xml:space="preserve">La reproducibilidad es moderada. Aunque el método es claro, la PI4 señala desafíos como la </t>
    </r>
    <r>
      <rPr>
        <b/>
        <sz val="11"/>
        <color theme="1"/>
        <rFont val="Aptos Narrow"/>
        <family val="2"/>
        <scheme val="minor"/>
      </rPr>
      <t>"complejidad para filtrar eventos relevantes"</t>
    </r>
    <r>
      <rPr>
        <sz val="11"/>
        <color theme="1"/>
        <rFont val="Aptos Narrow"/>
        <family val="2"/>
        <scheme val="minor"/>
      </rPr>
      <t xml:space="preserve"> y los </t>
    </r>
    <r>
      <rPr>
        <b/>
        <sz val="11"/>
        <color theme="1"/>
        <rFont val="Aptos Narrow"/>
        <family val="2"/>
        <scheme val="minor"/>
      </rPr>
      <t>"riesgos de sobrecarga en almacenamiento"</t>
    </r>
    <r>
      <rPr>
        <sz val="11"/>
        <color theme="1"/>
        <rFont val="Aptos Narrow"/>
        <family val="2"/>
        <scheme val="minor"/>
      </rPr>
      <t>, lo que puede dificultar la replicación.</t>
    </r>
  </si>
  <si>
    <t>A246</t>
  </si>
  <si>
    <t>La metodología es una "propuesta metodológica" que incluye un "prototipo experimental" (un juego serio). Es un enfoque de investigación constructivo y sistemático.</t>
  </si>
  <si>
    <r>
      <t xml:space="preserve">Se reportan evidencias de impacto en el ámbito educativo: </t>
    </r>
    <r>
      <rPr>
        <b/>
        <sz val="11"/>
        <color theme="1"/>
        <rFont val="Aptos Narrow"/>
        <family val="2"/>
        <scheme val="minor"/>
      </rPr>
      <t>"refuerza [el] aprendizaje de prácticas ágiles"</t>
    </r>
    <r>
      <rPr>
        <sz val="11"/>
        <color theme="1"/>
        <rFont val="Aptos Narrow"/>
        <family val="2"/>
        <scheme val="minor"/>
      </rPr>
      <t xml:space="preserve"> y </t>
    </r>
    <r>
      <rPr>
        <b/>
        <sz val="11"/>
        <color theme="1"/>
        <rFont val="Aptos Narrow"/>
        <family val="2"/>
        <scheme val="minor"/>
      </rPr>
      <t>"motiva a estudiantes"</t>
    </r>
    <r>
      <rPr>
        <sz val="11"/>
        <color theme="1"/>
        <rFont val="Aptos Narrow"/>
        <family val="2"/>
        <scheme val="minor"/>
      </rPr>
      <t>. Son beneficios válidos para su contexto.</t>
    </r>
  </si>
  <si>
    <t>El juego simula la "gestión de proyectos ágiles con Scrum". La integración es a nivel de proceso simulado, no con herramientas del ecosistema de desarrollo real.</t>
  </si>
  <si>
    <t>La reproducibilidad es moderada. Aunque el concepto del juego se describe, la PI4 señala la "sobrecarga de diseño de juegos" como un desafío, lo que puede dificultar una replicación exacta, si bien la idea es transferible.</t>
  </si>
  <si>
    <t>A247</t>
  </si>
  <si>
    <t>La metodología es una "propuesta metodológica" con "validación experimental". Es un enfoque de investigación cuantitativo, riguroso y sistemático.</t>
  </si>
  <si>
    <r>
      <t xml:space="preserve">El resumen de la PI4 es explícito: la validación está </t>
    </r>
    <r>
      <rPr>
        <b/>
        <sz val="11"/>
        <color theme="1"/>
        <rFont val="Aptos Narrow"/>
        <family val="2"/>
        <scheme val="minor"/>
      </rPr>
      <t>"restringida a funciones matemáticas, sin aplicación directa en proyectos de software"</t>
    </r>
    <r>
      <rPr>
        <sz val="11"/>
        <color theme="1"/>
        <rFont val="Aptos Narrow"/>
        <family val="2"/>
        <scheme val="minor"/>
      </rPr>
      <t>. No se valida en ningún contexto real.</t>
    </r>
  </si>
  <si>
    <r>
      <t xml:space="preserve">Se reporta evidencia de impacto a partir de la validación experimental: </t>
    </r>
    <r>
      <rPr>
        <b/>
        <sz val="11"/>
        <color theme="1"/>
        <rFont val="Aptos Narrow"/>
        <family val="2"/>
        <scheme val="minor"/>
      </rPr>
      <t>"mejora [en la] velocidad de convergencia frente a GA y PSO"</t>
    </r>
    <r>
      <rPr>
        <sz val="11"/>
        <color theme="1"/>
        <rFont val="Aptos Narrow"/>
        <family val="2"/>
        <scheme val="minor"/>
      </rPr>
      <t>. Es una evidencia de rendimiento medida en el contexto del experimento.</t>
    </r>
  </si>
  <si>
    <r>
      <t xml:space="preserve">El estudio utiliza Scrum como una </t>
    </r>
    <r>
      <rPr>
        <i/>
        <sz val="11"/>
        <color theme="1"/>
        <rFont val="Aptos Narrow"/>
        <family val="2"/>
        <scheme val="minor"/>
      </rPr>
      <t>inspiración</t>
    </r>
    <r>
      <rPr>
        <sz val="11"/>
        <color theme="1"/>
        <rFont val="Aptos Narrow"/>
        <family val="2"/>
        <scheme val="minor"/>
      </rPr>
      <t xml:space="preserve"> para un algoritmo, pero no discute cómo este algoritmo se integraría de vuelta en un flujo de trabajo o ecosistema ágil. La PI5 menciona una "potencial aplicación", lo que indica que no es el foco del trabajo.</t>
    </r>
  </si>
  <si>
    <t>La reproducibilidad es máxima. El estudio se valida sobre funciones de benchmark estándar y propone un algoritmo, lo que permite que el experimento sea replicado exactamente.</t>
  </si>
  <si>
    <t>A248</t>
  </si>
  <si>
    <t>La metodología es una "propuesta metodológica" de tipo "conceptual". Es un enfoque sistemático para plantear una extensión a un marco de trabajo existente.</t>
  </si>
  <si>
    <r>
      <t xml:space="preserve">El resumen de la PI4 es explícito: la propuesta es </t>
    </r>
    <r>
      <rPr>
        <b/>
        <sz val="11"/>
        <color theme="1"/>
        <rFont val="Aptos Narrow"/>
        <family val="2"/>
        <scheme val="minor"/>
      </rPr>
      <t>"aún conceptual; falta de validación en entornos industriales"</t>
    </r>
    <r>
      <rPr>
        <sz val="11"/>
        <color theme="1"/>
        <rFont val="Aptos Narrow"/>
        <family val="2"/>
        <scheme val="minor"/>
      </rPr>
      <t>. No se aplica en un contexto de proyecto real.</t>
    </r>
  </si>
  <si>
    <r>
      <t xml:space="preserve">Se enumeran beneficios potenciales como la </t>
    </r>
    <r>
      <rPr>
        <b/>
        <sz val="11"/>
        <color theme="1"/>
        <rFont val="Aptos Narrow"/>
        <family val="2"/>
        <scheme val="minor"/>
      </rPr>
      <t>"mejora [en la] eficiencia en asignación de tareas"</t>
    </r>
    <r>
      <rPr>
        <sz val="11"/>
        <color theme="1"/>
        <rFont val="Aptos Narrow"/>
        <family val="2"/>
        <scheme val="minor"/>
      </rPr>
      <t>. Sin embargo, al ser un estudio conceptual, no hay evidencia que respalde esta afirmación.</t>
    </r>
  </si>
  <si>
    <r>
      <t xml:space="preserve">La integración es el tema central del estudio. Propone una </t>
    </r>
    <r>
      <rPr>
        <b/>
        <sz val="11"/>
        <color theme="1"/>
        <rFont val="Aptos Narrow"/>
        <family val="2"/>
        <scheme val="minor"/>
      </rPr>
      <t>extensión del marco Scrum</t>
    </r>
    <r>
      <rPr>
        <sz val="11"/>
        <color theme="1"/>
        <rFont val="Aptos Narrow"/>
        <family val="2"/>
        <scheme val="minor"/>
      </rPr>
      <t xml:space="preserve"> para permitir que agentes inteligentes participen en el ciclo ágil, discutiendo la integración a nivel de proceso de manera profunda.</t>
    </r>
  </si>
  <si>
    <t>La reproducibilidad es baja. Al ser una propuesta conceptual, la PI4 señala la "dificultad de integración técnica y cultural", lo que sugiere que carece de los detalles para una replicación práctica.</t>
  </si>
  <si>
    <t>A249</t>
  </si>
  <si>
    <t>La metodología es una "propuesta metodológica" con un "prototipo experimental", siguiendo explícitamente un "ciclo ágil (Mobile-D y Scrum)". Es un enfoque de investigación constructivo y sistemático.</t>
  </si>
  <si>
    <r>
      <t xml:space="preserve">La validación se realiza a través de un </t>
    </r>
    <r>
      <rPr>
        <b/>
        <sz val="11"/>
        <color theme="1"/>
        <rFont val="Aptos Narrow"/>
        <family val="2"/>
        <scheme val="minor"/>
      </rPr>
      <t>"prototipo"</t>
    </r>
    <r>
      <rPr>
        <sz val="11"/>
        <color theme="1"/>
        <rFont val="Aptos Narrow"/>
        <family val="2"/>
        <scheme val="minor"/>
      </rPr>
      <t>, según la PI4. No se reportan pruebas en un entorno industrial a gran escala, por lo que el contexto es de laboratorio o prueba de concepto.</t>
    </r>
  </si>
  <si>
    <r>
      <t xml:space="preserve">Se reportan evidencias de impacto a partir del prototipo, como la </t>
    </r>
    <r>
      <rPr>
        <b/>
        <sz val="11"/>
        <color theme="1"/>
        <rFont val="Aptos Narrow"/>
        <family val="2"/>
        <scheme val="minor"/>
      </rPr>
      <t>"reducción de falsos positivos mediante crowdsourcing"</t>
    </r>
    <r>
      <rPr>
        <sz val="11"/>
        <color theme="1"/>
        <rFont val="Aptos Narrow"/>
        <family val="2"/>
        <scheme val="minor"/>
      </rPr>
      <t xml:space="preserve"> y la </t>
    </r>
    <r>
      <rPr>
        <b/>
        <sz val="11"/>
        <color theme="1"/>
        <rFont val="Aptos Narrow"/>
        <family val="2"/>
        <scheme val="minor"/>
      </rPr>
      <t>"mejora [de la] preparación comunitaria"</t>
    </r>
    <r>
      <rPr>
        <sz val="11"/>
        <color theme="1"/>
        <rFont val="Aptos Narrow"/>
        <family val="2"/>
        <scheme val="minor"/>
      </rPr>
      <t xml:space="preserve"> con notificaciones en tiempo real.</t>
    </r>
  </si>
  <si>
    <t>El sistema integra múltiples componentes (sensores de smartphones, cloud server con ML) y su desarrollo sigue explícitamente un ciclo de vida ágil. La integración es tanto técnica como a nivel de proceso.</t>
  </si>
  <si>
    <t>La reproducibilidad es moderada. Aunque se describen las técnicas (N-gram modeling, Fuzzy Logic) y la arquitectura, la validación depende de datos de crowdsourcing que no son replicables. El enfoque conceptual sí lo es.</t>
  </si>
  <si>
    <t>A250</t>
  </si>
  <si>
    <t>La metodología es una "propuesta metodológica" con una "validación experimental". Es un enfoque de investigación cuantitativo, riguroso y sistemático.</t>
  </si>
  <si>
    <r>
      <t xml:space="preserve">La validación se realiza sobre </t>
    </r>
    <r>
      <rPr>
        <b/>
        <sz val="11"/>
        <color theme="1"/>
        <rFont val="Aptos Narrow"/>
        <family val="2"/>
        <scheme val="minor"/>
      </rPr>
      <t>"12 proyectos web"</t>
    </r>
    <r>
      <rPr>
        <sz val="11"/>
        <color theme="1"/>
        <rFont val="Aptos Narrow"/>
        <family val="2"/>
        <scheme val="minor"/>
      </rPr>
      <t xml:space="preserve"> reales. Es un contexto de proyecto realista, aunque la PI4 lo limita a "proyectos medianos", no a una escala industrial grande.</t>
    </r>
  </si>
  <si>
    <r>
      <t xml:space="preserve">La PI5 menciona la </t>
    </r>
    <r>
      <rPr>
        <b/>
        <sz val="11"/>
        <color theme="1"/>
        <rFont val="Aptos Narrow"/>
        <family val="2"/>
        <scheme val="minor"/>
      </rPr>
      <t>"proyección hacia integración con herramientas de backlog (Taiga, OrangeScrum)"</t>
    </r>
    <r>
      <rPr>
        <sz val="11"/>
        <color theme="1"/>
        <rFont val="Aptos Narrow"/>
        <family val="2"/>
        <scheme val="minor"/>
      </rPr>
      <t>, lo que demuestra que la integración es un tema central, aunque se plantee como un paso futuro.</t>
    </r>
  </si>
  <si>
    <r>
      <t xml:space="preserve">La reproducibilidad es baja. La PI4 señala la </t>
    </r>
    <r>
      <rPr>
        <b/>
        <sz val="11"/>
        <color theme="1"/>
        <rFont val="Aptos Narrow"/>
        <family val="2"/>
        <scheme val="minor"/>
      </rPr>
      <t>"complejidad técnica en implementación y adopción"</t>
    </r>
    <r>
      <rPr>
        <sz val="11"/>
        <color theme="1"/>
        <rFont val="Aptos Narrow"/>
        <family val="2"/>
        <scheme val="minor"/>
      </rPr>
      <t xml:space="preserve"> de un sistema multi-agente y de ontologías, lo que dificulta significativamente la replicación.</t>
    </r>
  </si>
  <si>
    <r>
      <t xml:space="preserve">Se proporciona evidencia cuantitativa explícita y de alto impacto: una </t>
    </r>
    <r>
      <rPr>
        <b/>
        <sz val="11"/>
        <color theme="1"/>
        <rFont val="Aptos Narrow"/>
        <family val="2"/>
        <scheme val="minor"/>
      </rPr>
      <t>"mejora [en la] precisión de estimaciones (91% de predicción correcta frente a 75–83%)"</t>
    </r>
    <r>
      <rPr>
        <sz val="11"/>
        <color theme="1"/>
        <rFont val="Aptos Narrow"/>
        <family val="2"/>
        <scheme val="minor"/>
      </rPr>
      <t>.</t>
    </r>
  </si>
  <si>
    <t>A251</t>
  </si>
  <si>
    <t>La metodología es una "propuesta metodológica" con una "validación experimental" rigurosa sobre funciones de benchmark. Es un enfoque de investigación cuantitativo y sistemático.</t>
  </si>
  <si>
    <r>
      <t xml:space="preserve">El resumen de la PI4 es explícito: la validación está </t>
    </r>
    <r>
      <rPr>
        <b/>
        <sz val="11"/>
        <color theme="1"/>
        <rFont val="Aptos Narrow"/>
        <family val="2"/>
        <scheme val="minor"/>
      </rPr>
      <t>"restringida a problemas matemáticos, falta de aplicación en proyectos de software reales"</t>
    </r>
    <r>
      <rPr>
        <sz val="11"/>
        <color theme="1"/>
        <rFont val="Aptos Narrow"/>
        <family val="2"/>
        <scheme val="minor"/>
      </rPr>
      <t>. No se valida en un contexto real.</t>
    </r>
  </si>
  <si>
    <r>
      <t xml:space="preserve">Se reporta evidencia de impacto a partir de la validación experimental: </t>
    </r>
    <r>
      <rPr>
        <b/>
        <sz val="11"/>
        <color theme="1"/>
        <rFont val="Aptos Narrow"/>
        <family val="2"/>
        <scheme val="minor"/>
      </rPr>
      <t>"mejora la convergencia"</t>
    </r>
    <r>
      <rPr>
        <sz val="11"/>
        <color theme="1"/>
        <rFont val="Aptos Narrow"/>
        <family val="2"/>
        <scheme val="minor"/>
      </rPr>
      <t xml:space="preserve"> y </t>
    </r>
    <r>
      <rPr>
        <b/>
        <sz val="11"/>
        <color theme="1"/>
        <rFont val="Aptos Narrow"/>
        <family val="2"/>
        <scheme val="minor"/>
      </rPr>
      <t>"logra menores errores en 20 de 30 funciones benchmark"</t>
    </r>
    <r>
      <rPr>
        <sz val="11"/>
        <color theme="1"/>
        <rFont val="Aptos Narrow"/>
        <family val="2"/>
        <scheme val="minor"/>
      </rPr>
      <t>. El impacto está medido en su contexto.</t>
    </r>
  </si>
  <si>
    <r>
      <t xml:space="preserve">El estudio utiliza Scrum como una </t>
    </r>
    <r>
      <rPr>
        <i/>
        <sz val="11"/>
        <color theme="1"/>
        <rFont val="Aptos Narrow"/>
        <family val="2"/>
        <scheme val="minor"/>
      </rPr>
      <t>inspiración</t>
    </r>
    <r>
      <rPr>
        <sz val="11"/>
        <color theme="1"/>
        <rFont val="Aptos Narrow"/>
        <family val="2"/>
        <scheme val="minor"/>
      </rPr>
      <t xml:space="preserve"> para un algoritmo de optimización, pero no discute cómo este se integraría de vuelta en un flujo de trabajo ágil. La PI5 menciona un "potencial uso", indicando que no es el foco del trabajo.</t>
    </r>
  </si>
  <si>
    <t>La reproducibilidad es máxima. El estudio se valida sobre un conjunto de funciones de benchmark estándar (CEC2017), lo que permite que el experimento sea replicado exactamente.</t>
  </si>
  <si>
    <t>TOTAL</t>
  </si>
  <si>
    <t>PUNTAJE TOTAL</t>
  </si>
  <si>
    <t>DESVIACIÓN ESTÁNDAR</t>
  </si>
  <si>
    <t>PROMEDIO EQ1</t>
  </si>
  <si>
    <t>PROMEDIO EQ2</t>
  </si>
  <si>
    <t>PROMEDIO EQ3</t>
  </si>
  <si>
    <t>PROMEDIO EQ4</t>
  </si>
  <si>
    <t>PROMEDIO EQ5</t>
  </si>
  <si>
    <t>PROMEDIO TOTAL</t>
  </si>
  <si>
    <t>ALTA CALIDAD</t>
  </si>
  <si>
    <t>MEDIA-ALTA</t>
  </si>
  <si>
    <t>MEDIA</t>
  </si>
  <si>
    <t>BAJA</t>
  </si>
  <si>
    <t>MUY BAJA</t>
  </si>
  <si>
    <t>EQ</t>
  </si>
  <si>
    <t>Rúbrica</t>
  </si>
  <si>
    <t>EQ1: ¿Presenta el estudio una propuesta o análisis con una metodología de investigación clara y sistemática?</t>
  </si>
  <si>
    <r>
      <rPr>
        <b/>
        <sz val="11"/>
        <color theme="1"/>
        <rFont val="Aptos Narrow"/>
        <family val="2"/>
        <scheme val="minor"/>
      </rPr>
      <t xml:space="preserve">5 (Totalmente de acuerdo): </t>
    </r>
    <r>
      <rPr>
        <sz val="11"/>
        <color theme="1"/>
        <rFont val="Aptos Narrow"/>
        <family val="2"/>
        <scheme val="minor"/>
      </rPr>
      <t xml:space="preserve">
El estudio declara explícitamente y sigue una metodología de investigación reconocida (ej. Estudio de Caso, Experimento Controlado, Mapeo Sistemático, Investigación-Acción).</t>
    </r>
  </si>
  <si>
    <r>
      <rPr>
        <b/>
        <sz val="11"/>
        <color theme="1"/>
        <rFont val="Aptos Narrow"/>
        <family val="2"/>
        <scheme val="minor"/>
      </rPr>
      <t xml:space="preserve">3 (Parcialmente de acuerdo): </t>
    </r>
    <r>
      <rPr>
        <sz val="11"/>
        <color theme="1"/>
        <rFont val="Aptos Narrow"/>
        <family val="2"/>
        <scheme val="minor"/>
      </rPr>
      <t xml:space="preserve">
El estudio describe los pasos que siguió, pero no se enmarca en una metodología formal o reconocida. El proceso es comprensible pero no riguroso.</t>
    </r>
  </si>
  <si>
    <r>
      <rPr>
        <b/>
        <sz val="11"/>
        <color theme="1"/>
        <rFont val="Aptos Narrow"/>
        <family val="2"/>
        <scheme val="minor"/>
      </rPr>
      <t xml:space="preserve">1 (Casi en total desacuerdo): </t>
    </r>
    <r>
      <rPr>
        <sz val="11"/>
        <color theme="1"/>
        <rFont val="Aptos Narrow"/>
        <family val="2"/>
        <scheme val="minor"/>
      </rPr>
      <t xml:space="preserve">
Es muy difícil entender cómo se llevó a cabo la investigación. No hay una sección de metodología clara.</t>
    </r>
  </si>
  <si>
    <r>
      <rPr>
        <b/>
        <sz val="11"/>
        <color theme="1"/>
        <rFont val="Aptos Narrow"/>
        <family val="2"/>
        <scheme val="minor"/>
      </rPr>
      <t xml:space="preserve">0 (Totalmente en desacuerdo): </t>
    </r>
    <r>
      <rPr>
        <sz val="11"/>
        <color theme="1"/>
        <rFont val="Aptos Narrow"/>
        <family val="2"/>
        <scheme val="minor"/>
      </rPr>
      <t xml:space="preserve">
No se describe en absoluto la metodología.</t>
    </r>
  </si>
  <si>
    <t>EQ2: ¿Se describe o valida la solución de IA en un contexto industrial o con datos de un proyecto real?</t>
  </si>
  <si>
    <r>
      <rPr>
        <b/>
        <sz val="11"/>
        <color theme="1"/>
        <rFont val="Aptos Narrow"/>
        <family val="2"/>
        <scheme val="minor"/>
      </rPr>
      <t xml:space="preserve">5 (Totalmente de acuerdo): </t>
    </r>
    <r>
      <rPr>
        <sz val="11"/>
        <color theme="1"/>
        <rFont val="Aptos Narrow"/>
        <family val="2"/>
        <scheme val="minor"/>
      </rPr>
      <t xml:space="preserve">
La validación se realiza en un entorno industrial, con profesionales y datos de un proyecto comercial en producción.</t>
    </r>
  </si>
  <si>
    <r>
      <rPr>
        <b/>
        <sz val="11"/>
        <color theme="1"/>
        <rFont val="Aptos Narrow"/>
        <family val="2"/>
        <scheme val="minor"/>
      </rPr>
      <t xml:space="preserve">3 (Parcialmente de acuerdo): </t>
    </r>
    <r>
      <rPr>
        <sz val="11"/>
        <color theme="1"/>
        <rFont val="Aptos Narrow"/>
        <family val="2"/>
        <scheme val="minor"/>
      </rPr>
      <t xml:space="preserve">
La validación utiliza datos de un proyecto de software de código abierto (open-source) significativo o se realiza un experimento con profesionales, pero en un entorno de laboratorio.</t>
    </r>
  </si>
  <si>
    <r>
      <rPr>
        <b/>
        <sz val="11"/>
        <color theme="1"/>
        <rFont val="Aptos Narrow"/>
        <family val="2"/>
        <scheme val="minor"/>
      </rPr>
      <t xml:space="preserve">1 (Casi en total desacuerdo): </t>
    </r>
    <r>
      <rPr>
        <sz val="11"/>
        <color theme="1"/>
        <rFont val="Aptos Narrow"/>
        <family val="2"/>
        <scheme val="minor"/>
      </rPr>
      <t xml:space="preserve">
La validación se limita a un experimento con estudiantes o utiliza un conjunto de datos puramente académico o sintético.</t>
    </r>
  </si>
  <si>
    <r>
      <rPr>
        <b/>
        <sz val="11"/>
        <color theme="1"/>
        <rFont val="Aptos Narrow"/>
        <family val="2"/>
        <scheme val="minor"/>
      </rPr>
      <t xml:space="preserve">0 (Totalmente en desacuerdo): </t>
    </r>
    <r>
      <rPr>
        <sz val="11"/>
        <color theme="1"/>
        <rFont val="Aptos Narrow"/>
        <family val="2"/>
        <scheme val="minor"/>
      </rPr>
      <t xml:space="preserve">
La propuesta es puramente teórica o solo se ilustra con un ejemplo hipotético ("toy example") sin datos.</t>
    </r>
  </si>
  <si>
    <t>EQ3: ¿Proporciona el estudio evidencias (cuantitativas o cualitativas) que demuestren un impacto positivo en alguna métrica ágil?</t>
  </si>
  <si>
    <r>
      <rPr>
        <b/>
        <sz val="11"/>
        <color theme="1"/>
        <rFont val="Aptos Narrow"/>
        <family val="2"/>
        <scheme val="minor"/>
      </rPr>
      <t xml:space="preserve">5 (Totalmente de acuerdo): </t>
    </r>
    <r>
      <rPr>
        <sz val="11"/>
        <color theme="1"/>
        <rFont val="Aptos Narrow"/>
        <family val="2"/>
        <scheme val="minor"/>
      </rPr>
      <t xml:space="preserve">
Se presentan evidencias cuantitativas claras del impacto (ej. "la precisión de la estimación mejoró en un 25%", "el tiempo del ciclo de pruebas se redujo en un 15%").</t>
    </r>
  </si>
  <si>
    <r>
      <rPr>
        <b/>
        <sz val="11"/>
        <color theme="1"/>
        <rFont val="Aptos Narrow"/>
        <family val="2"/>
        <scheme val="minor"/>
      </rPr>
      <t xml:space="preserve">3 (Parcialmente de acuerdo): </t>
    </r>
    <r>
      <rPr>
        <sz val="11"/>
        <color theme="1"/>
        <rFont val="Aptos Narrow"/>
        <family val="2"/>
        <scheme val="minor"/>
      </rPr>
      <t xml:space="preserve">
Se presentan evidencias cualitativas del impacto (ej. encuestas de satisfacción a los desarrolladores, entrevistas que indican una mejora percibida).</t>
    </r>
  </si>
  <si>
    <r>
      <rPr>
        <b/>
        <sz val="11"/>
        <color theme="1"/>
        <rFont val="Aptos Narrow"/>
        <family val="2"/>
        <scheme val="minor"/>
      </rPr>
      <t xml:space="preserve">1 (Casi en total desacuerdo): </t>
    </r>
    <r>
      <rPr>
        <sz val="11"/>
        <color theme="1"/>
        <rFont val="Aptos Narrow"/>
        <family val="2"/>
        <scheme val="minor"/>
      </rPr>
      <t xml:space="preserve">
El estudio afirma que hay beneficios, pero no proporciona ninguna evidencia (ni cuantitativa ni cualitativa) para respaldar dicha afirmación.</t>
    </r>
  </si>
  <si>
    <r>
      <rPr>
        <b/>
        <sz val="11"/>
        <color theme="1"/>
        <rFont val="Aptos Narrow"/>
        <family val="2"/>
        <scheme val="minor"/>
      </rPr>
      <t xml:space="preserve">0 (Totalmente en desacuerdo): </t>
    </r>
    <r>
      <rPr>
        <sz val="11"/>
        <color theme="1"/>
        <rFont val="Aptos Narrow"/>
        <family val="2"/>
        <scheme val="minor"/>
      </rPr>
      <t xml:space="preserve">
No se discute el impacto de la propuesta en ninguna métrica o aspecto del proceso ágil.</t>
    </r>
  </si>
  <si>
    <t>EQ4: ¿Se discute la integración de la propuesta con herramientas o flujos de trabajo existentes en el ecosistema ágil?</t>
  </si>
  <si>
    <r>
      <rPr>
        <b/>
        <sz val="11"/>
        <color theme="1"/>
        <rFont val="Aptos Narrow"/>
        <family val="2"/>
        <scheme val="minor"/>
      </rPr>
      <t xml:space="preserve">5 (Totalmente de acuerdo): </t>
    </r>
    <r>
      <rPr>
        <sz val="11"/>
        <color theme="1"/>
        <rFont val="Aptos Narrow"/>
        <family val="2"/>
        <scheme val="minor"/>
      </rPr>
      <t xml:space="preserve">
La propuesta se presenta como una herramienta integrada o un plugin para plataformas existentes (ej. Jira, GitHub Actions, Jenkins) o se detalla explícitamente cómo se integra en el flujo de trabajo CI/CD.</t>
    </r>
  </si>
  <si>
    <r>
      <rPr>
        <b/>
        <sz val="11"/>
        <color theme="1"/>
        <rFont val="Aptos Narrow"/>
        <family val="2"/>
        <scheme val="minor"/>
      </rPr>
      <t xml:space="preserve">1 (Casi en total desacuerdo): </t>
    </r>
    <r>
      <rPr>
        <sz val="11"/>
        <color theme="1"/>
        <rFont val="Aptos Narrow"/>
        <family val="2"/>
        <scheme val="minor"/>
      </rPr>
      <t xml:space="preserve">
La propuesta se presenta como una solución completamente aislada ("standalone") y no se menciona cómo interactuaría con el ecosistema ágil.</t>
    </r>
  </si>
  <si>
    <r>
      <rPr>
        <b/>
        <sz val="11"/>
        <color theme="1"/>
        <rFont val="Aptos Narrow"/>
        <family val="2"/>
        <scheme val="minor"/>
      </rPr>
      <t xml:space="preserve">0 (Totalmente en desacuerdo): </t>
    </r>
    <r>
      <rPr>
        <sz val="11"/>
        <color theme="1"/>
        <rFont val="Aptos Narrow"/>
        <family val="2"/>
        <scheme val="minor"/>
      </rPr>
      <t xml:space="preserve">
El tema de la integración no se aborda en absoluto.</t>
    </r>
  </si>
  <si>
    <t>EQ5: ¿Presenta el estudio una propuesta lo suficientemente detallada como para ser considerada reproducible?</t>
  </si>
  <si>
    <r>
      <rPr>
        <b/>
        <sz val="11"/>
        <color theme="1"/>
        <rFont val="Aptos Narrow"/>
        <family val="2"/>
        <scheme val="minor"/>
      </rPr>
      <t xml:space="preserve">5 (Totalmente de acuerdo): 
</t>
    </r>
    <r>
      <rPr>
        <sz val="11"/>
        <color theme="1"/>
        <rFont val="Aptos Narrow"/>
        <family val="2"/>
        <scheme val="minor"/>
      </rPr>
      <t>El estudio proporciona acceso público a los datos, el código fuente y/o las herramientas utilizadas, permitiendo una replicación directa.</t>
    </r>
  </si>
  <si>
    <r>
      <rPr>
        <b/>
        <sz val="11"/>
        <color theme="1"/>
        <rFont val="Aptos Narrow"/>
        <family val="2"/>
        <scheme val="minor"/>
      </rPr>
      <t xml:space="preserve">3 (Parcialmente de acuerdo): </t>
    </r>
    <r>
      <rPr>
        <sz val="11"/>
        <color theme="1"/>
        <rFont val="Aptos Narrow"/>
        <family val="2"/>
        <scheme val="minor"/>
      </rPr>
      <t xml:space="preserve">
El estudio no comparte los datos o el código, pero describe el algoritmo, la arquitectura o el proceso con un nivel de detalle suficiente como para que otro investigador pueda intentar una reimplementación.</t>
    </r>
  </si>
  <si>
    <r>
      <rPr>
        <b/>
        <sz val="11"/>
        <color theme="1"/>
        <rFont val="Aptos Narrow"/>
        <family val="2"/>
        <scheme val="minor"/>
      </rPr>
      <t xml:space="preserve">1 (Casi en total desacuerdo): 
</t>
    </r>
    <r>
      <rPr>
        <sz val="11"/>
        <color theme="1"/>
        <rFont val="Aptos Narrow"/>
        <family val="2"/>
        <scheme val="minor"/>
      </rPr>
      <t>La descripción de la propuesta es de muy alto nivel, omitiendo detalles técnicos clave que harían muy difícil o imposible su replicación.</t>
    </r>
  </si>
  <si>
    <r>
      <rPr>
        <b/>
        <sz val="11"/>
        <color theme="1"/>
        <rFont val="Aptos Narrow"/>
        <family val="2"/>
        <scheme val="minor"/>
      </rPr>
      <t xml:space="preserve">0 (Totalmente en desacuerdo): 
</t>
    </r>
    <r>
      <rPr>
        <sz val="11"/>
        <color theme="1"/>
        <rFont val="Aptos Narrow"/>
        <family val="2"/>
        <scheme val="minor"/>
      </rPr>
      <t>No se proporciona ningún detalle sobre la implementación o el diseño de la propuesta.</t>
    </r>
  </si>
  <si>
    <r>
      <rPr>
        <b/>
        <sz val="11"/>
        <color theme="1"/>
        <rFont val="Aptos Narrow"/>
        <family val="2"/>
        <scheme val="minor"/>
      </rPr>
      <t>Nota:</t>
    </r>
    <r>
      <rPr>
        <sz val="11"/>
        <color theme="1"/>
        <rFont val="Aptos Narrow"/>
        <family val="2"/>
        <scheme val="minor"/>
      </rPr>
      <t xml:space="preserve"> Los valores intermedios (4 y 2) serán asignados por proximidad a estos anclajes.</t>
    </r>
  </si>
  <si>
    <r>
      <rPr>
        <b/>
        <sz val="11"/>
        <color theme="1"/>
        <rFont val="Aptos Narrow"/>
        <family val="2"/>
        <scheme val="minor"/>
      </rPr>
      <t xml:space="preserve">3 (Parcialmente de acuerdo): </t>
    </r>
    <r>
      <rPr>
        <sz val="11"/>
        <color theme="1"/>
        <rFont val="Aptos Narrow"/>
        <family val="2"/>
        <scheme val="minor"/>
      </rPr>
      <t xml:space="preserve">
Se discute la integración a un nivel conceptual, explicando cómo "podría" conectarse con otras herramientas, pero sin una implementación concreta.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</si>
</sst>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9">
    <fill>
      <patternFill patternType="none"/>
    </fill>
    <fill>
      <patternFill patternType="gray125"/>
    </fill>
    <fill>
      <patternFill patternType="solid">
        <fgColor rgb="FFE4E43C"/>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left" vertical="top" wrapText="1"/>
    </xf>
    <xf numFmtId="0" fontId="0" fillId="0" borderId="0" xfId="0" applyAlignment="1">
      <alignment horizontal="left" vertical="center"/>
    </xf>
    <xf numFmtId="2" fontId="0" fillId="0" borderId="0" xfId="0" applyNumberFormat="1" applyAlignment="1">
      <alignment horizontal="center" vertical="center"/>
    </xf>
    <xf numFmtId="0" fontId="1" fillId="0" borderId="0" xfId="0" applyFont="1"/>
    <xf numFmtId="0" fontId="1" fillId="0" borderId="0" xfId="0" applyFont="1" applyAlignment="1">
      <alignment wrapText="1"/>
    </xf>
    <xf numFmtId="2" fontId="0" fillId="0" borderId="0" xfId="0" applyNumberFormat="1" applyAlignment="1">
      <alignment horizontal="center"/>
    </xf>
    <xf numFmtId="164" fontId="0" fillId="0" borderId="0" xfId="0" applyNumberFormat="1" applyAlignment="1">
      <alignment horizontal="center"/>
    </xf>
    <xf numFmtId="0" fontId="0" fillId="8" borderId="0" xfId="0" applyFill="1"/>
    <xf numFmtId="0" fontId="0" fillId="3" borderId="1" xfId="0" applyFill="1" applyBorder="1" applyAlignment="1">
      <alignment wrapText="1"/>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4" borderId="1" xfId="0" applyFill="1" applyBorder="1" applyAlignment="1">
      <alignment wrapText="1"/>
    </xf>
    <xf numFmtId="0" fontId="0" fillId="5" borderId="1" xfId="0" applyFill="1" applyBorder="1" applyAlignment="1">
      <alignment horizontal="left" vertical="center"/>
    </xf>
    <xf numFmtId="0" fontId="0" fillId="5" borderId="1" xfId="0" applyFill="1" applyBorder="1" applyAlignment="1">
      <alignment wrapText="1"/>
    </xf>
    <xf numFmtId="0" fontId="0" fillId="6" borderId="1" xfId="0" applyFill="1" applyBorder="1" applyAlignment="1">
      <alignment horizontal="left" vertical="center"/>
    </xf>
    <xf numFmtId="0" fontId="0" fillId="6" borderId="1" xfId="0" applyFill="1" applyBorder="1" applyAlignment="1">
      <alignment wrapText="1"/>
    </xf>
    <xf numFmtId="0" fontId="0" fillId="7" borderId="1" xfId="0" applyFill="1" applyBorder="1" applyAlignment="1">
      <alignment horizontal="center" vertical="center"/>
    </xf>
    <xf numFmtId="0" fontId="0" fillId="7" borderId="1" xfId="0" applyFill="1" applyBorder="1" applyAlignment="1">
      <alignment wrapText="1"/>
    </xf>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87E8B-B4E7-4A64-832D-8CCE0C96DCA9}">
  <dimension ref="A1:M202"/>
  <sheetViews>
    <sheetView tabSelected="1" workbookViewId="0">
      <pane ySplit="1" topLeftCell="A167" activePane="bottomLeft" state="frozen"/>
      <selection pane="bottomLeft" activeCell="M197" sqref="M197"/>
    </sheetView>
  </sheetViews>
  <sheetFormatPr baseColWidth="10" defaultRowHeight="15" x14ac:dyDescent="0.25"/>
  <cols>
    <col min="1" max="1" width="15" bestFit="1" customWidth="1"/>
    <col min="2" max="2" width="16.42578125" style="3" customWidth="1"/>
    <col min="3" max="3" width="49.85546875" style="1" customWidth="1"/>
    <col min="4" max="4" width="18.42578125" style="3" customWidth="1"/>
    <col min="5" max="5" width="46.42578125" style="1" customWidth="1"/>
    <col min="6" max="6" width="15.5703125" style="2" customWidth="1"/>
    <col min="7" max="7" width="33.140625" customWidth="1"/>
    <col min="8" max="8" width="17.42578125" style="2" customWidth="1"/>
    <col min="9" max="9" width="26.28515625" customWidth="1"/>
    <col min="10" max="10" width="17.7109375" style="2" customWidth="1"/>
    <col min="11" max="11" width="30" customWidth="1"/>
    <col min="12" max="12" width="22.7109375" customWidth="1"/>
    <col min="13" max="13" width="14.85546875" bestFit="1" customWidth="1"/>
  </cols>
  <sheetData>
    <row r="1" spans="1:13" s="4" customFormat="1" ht="45" x14ac:dyDescent="0.25">
      <c r="A1" s="4" t="s">
        <v>0</v>
      </c>
      <c r="B1" s="5" t="s">
        <v>8</v>
      </c>
      <c r="C1" s="5" t="s">
        <v>2</v>
      </c>
      <c r="D1" s="5" t="s">
        <v>9</v>
      </c>
      <c r="E1" s="5" t="s">
        <v>3</v>
      </c>
      <c r="F1" s="5" t="s">
        <v>11</v>
      </c>
      <c r="G1" s="4" t="s">
        <v>4</v>
      </c>
      <c r="H1" s="5" t="s">
        <v>12</v>
      </c>
      <c r="I1" s="4" t="s">
        <v>5</v>
      </c>
      <c r="J1" s="5" t="s">
        <v>13</v>
      </c>
      <c r="K1" s="4" t="s">
        <v>6</v>
      </c>
      <c r="L1" s="4" t="s">
        <v>59</v>
      </c>
      <c r="M1" s="4" t="s">
        <v>1106</v>
      </c>
    </row>
    <row r="2" spans="1:13" s="3" customFormat="1" ht="17.25" customHeight="1" x14ac:dyDescent="0.25">
      <c r="A2" s="7" t="s">
        <v>1</v>
      </c>
      <c r="B2" s="3">
        <v>5</v>
      </c>
      <c r="C2" s="6" t="s">
        <v>7</v>
      </c>
      <c r="D2" s="3">
        <v>3</v>
      </c>
      <c r="E2" s="6" t="s">
        <v>10</v>
      </c>
      <c r="F2" s="3">
        <v>5</v>
      </c>
      <c r="G2" s="6" t="s">
        <v>14</v>
      </c>
      <c r="H2" s="3">
        <v>4</v>
      </c>
      <c r="I2" s="6" t="s">
        <v>15</v>
      </c>
      <c r="J2" s="3">
        <v>3</v>
      </c>
      <c r="K2" s="6" t="s">
        <v>16</v>
      </c>
      <c r="M2" s="3">
        <f t="shared" ref="M2:M33" si="0">SUM(B2,D2,F2,H2,J2)</f>
        <v>20</v>
      </c>
    </row>
    <row r="3" spans="1:13" x14ac:dyDescent="0.25">
      <c r="A3" t="s">
        <v>17</v>
      </c>
      <c r="B3" s="3">
        <v>5</v>
      </c>
      <c r="C3" t="s">
        <v>18</v>
      </c>
      <c r="D3" s="3">
        <v>4</v>
      </c>
      <c r="E3" t="s">
        <v>19</v>
      </c>
      <c r="F3" s="2">
        <v>5</v>
      </c>
      <c r="G3" t="s">
        <v>20</v>
      </c>
      <c r="H3" s="2">
        <v>5</v>
      </c>
      <c r="I3" t="s">
        <v>21</v>
      </c>
      <c r="J3" s="2">
        <v>3</v>
      </c>
      <c r="K3" t="s">
        <v>22</v>
      </c>
      <c r="M3" s="3">
        <f t="shared" si="0"/>
        <v>22</v>
      </c>
    </row>
    <row r="4" spans="1:13" x14ac:dyDescent="0.25">
      <c r="A4" t="s">
        <v>23</v>
      </c>
      <c r="B4" s="3">
        <v>5</v>
      </c>
      <c r="C4" t="s">
        <v>24</v>
      </c>
      <c r="D4" s="3">
        <v>3</v>
      </c>
      <c r="E4" t="s">
        <v>25</v>
      </c>
      <c r="F4" s="2">
        <v>5</v>
      </c>
      <c r="G4" t="s">
        <v>26</v>
      </c>
      <c r="H4" s="2">
        <v>2</v>
      </c>
      <c r="I4" t="s">
        <v>27</v>
      </c>
      <c r="J4" s="2">
        <v>4</v>
      </c>
      <c r="K4" t="s">
        <v>28</v>
      </c>
      <c r="M4" s="3">
        <f t="shared" si="0"/>
        <v>19</v>
      </c>
    </row>
    <row r="5" spans="1:13" x14ac:dyDescent="0.25">
      <c r="A5" t="s">
        <v>29</v>
      </c>
      <c r="B5" s="3">
        <v>5</v>
      </c>
      <c r="C5" t="s">
        <v>30</v>
      </c>
      <c r="D5" s="3">
        <v>3</v>
      </c>
      <c r="E5" t="s">
        <v>31</v>
      </c>
      <c r="F5" s="2">
        <v>5</v>
      </c>
      <c r="G5" t="s">
        <v>32</v>
      </c>
      <c r="H5" s="2">
        <v>4</v>
      </c>
      <c r="I5" t="s">
        <v>33</v>
      </c>
      <c r="J5" s="2">
        <v>4</v>
      </c>
      <c r="K5" t="s">
        <v>34</v>
      </c>
      <c r="M5" s="3">
        <f t="shared" si="0"/>
        <v>21</v>
      </c>
    </row>
    <row r="6" spans="1:13" x14ac:dyDescent="0.25">
      <c r="A6" t="s">
        <v>35</v>
      </c>
      <c r="B6" s="3">
        <v>2</v>
      </c>
      <c r="C6" t="s">
        <v>36</v>
      </c>
      <c r="D6" s="3">
        <v>0</v>
      </c>
      <c r="E6" t="s">
        <v>37</v>
      </c>
      <c r="F6" s="2">
        <v>1</v>
      </c>
      <c r="G6" t="s">
        <v>38</v>
      </c>
      <c r="H6" s="2">
        <v>2</v>
      </c>
      <c r="I6" t="s">
        <v>39</v>
      </c>
      <c r="J6" s="2">
        <v>1</v>
      </c>
      <c r="K6" t="s">
        <v>40</v>
      </c>
      <c r="M6" s="3">
        <f t="shared" si="0"/>
        <v>6</v>
      </c>
    </row>
    <row r="7" spans="1:13" x14ac:dyDescent="0.25">
      <c r="A7" t="s">
        <v>41</v>
      </c>
      <c r="B7" s="3">
        <v>5</v>
      </c>
      <c r="C7" t="s">
        <v>42</v>
      </c>
      <c r="D7" s="3">
        <v>3</v>
      </c>
      <c r="E7" t="s">
        <v>43</v>
      </c>
      <c r="F7" s="2">
        <v>5</v>
      </c>
      <c r="G7" t="s">
        <v>44</v>
      </c>
      <c r="H7" s="2">
        <v>2</v>
      </c>
      <c r="I7" t="s">
        <v>45</v>
      </c>
      <c r="J7" s="2">
        <v>4</v>
      </c>
      <c r="K7" t="s">
        <v>46</v>
      </c>
      <c r="M7" s="3">
        <f t="shared" si="0"/>
        <v>19</v>
      </c>
    </row>
    <row r="8" spans="1:13" x14ac:dyDescent="0.25">
      <c r="A8" t="s">
        <v>47</v>
      </c>
      <c r="B8" s="3">
        <v>5</v>
      </c>
      <c r="C8" t="s">
        <v>48</v>
      </c>
      <c r="D8" s="3">
        <v>5</v>
      </c>
      <c r="E8" t="s">
        <v>49</v>
      </c>
      <c r="F8" s="2">
        <v>1</v>
      </c>
      <c r="G8" t="s">
        <v>50</v>
      </c>
      <c r="H8" s="2">
        <v>4</v>
      </c>
      <c r="I8" t="s">
        <v>51</v>
      </c>
      <c r="J8" s="2">
        <v>2</v>
      </c>
      <c r="K8" t="s">
        <v>52</v>
      </c>
      <c r="M8" s="3">
        <f t="shared" si="0"/>
        <v>17</v>
      </c>
    </row>
    <row r="9" spans="1:13" x14ac:dyDescent="0.25">
      <c r="A9" t="s">
        <v>53</v>
      </c>
      <c r="B9" s="3">
        <v>5</v>
      </c>
      <c r="C9" t="s">
        <v>54</v>
      </c>
      <c r="D9" s="3">
        <v>0</v>
      </c>
      <c r="E9" t="s">
        <v>55</v>
      </c>
      <c r="F9" s="2">
        <v>0</v>
      </c>
      <c r="G9" t="s">
        <v>56</v>
      </c>
      <c r="H9" s="2">
        <v>0</v>
      </c>
      <c r="I9" t="s">
        <v>57</v>
      </c>
      <c r="J9" s="2">
        <v>5</v>
      </c>
      <c r="K9" t="s">
        <v>58</v>
      </c>
      <c r="L9" t="s">
        <v>60</v>
      </c>
      <c r="M9" s="3">
        <f t="shared" si="0"/>
        <v>10</v>
      </c>
    </row>
    <row r="10" spans="1:13" x14ac:dyDescent="0.25">
      <c r="A10" t="s">
        <v>61</v>
      </c>
      <c r="B10" s="3">
        <v>5</v>
      </c>
      <c r="C10" t="s">
        <v>62</v>
      </c>
      <c r="D10" s="3">
        <v>5</v>
      </c>
      <c r="E10" t="s">
        <v>63</v>
      </c>
      <c r="F10" s="2">
        <v>5</v>
      </c>
      <c r="G10" t="s">
        <v>64</v>
      </c>
      <c r="H10" s="2">
        <v>5</v>
      </c>
      <c r="I10" t="s">
        <v>65</v>
      </c>
      <c r="J10" s="2">
        <v>3</v>
      </c>
      <c r="K10" t="s">
        <v>66</v>
      </c>
      <c r="M10" s="3">
        <f t="shared" si="0"/>
        <v>23</v>
      </c>
    </row>
    <row r="11" spans="1:13" x14ac:dyDescent="0.25">
      <c r="A11" t="s">
        <v>67</v>
      </c>
      <c r="B11" s="3">
        <v>5</v>
      </c>
      <c r="C11" t="s">
        <v>68</v>
      </c>
      <c r="D11" s="3">
        <v>4</v>
      </c>
      <c r="E11" t="s">
        <v>69</v>
      </c>
      <c r="F11" s="2">
        <v>5</v>
      </c>
      <c r="G11" t="s">
        <v>70</v>
      </c>
      <c r="H11" s="2">
        <v>3</v>
      </c>
      <c r="I11" t="s">
        <v>71</v>
      </c>
      <c r="J11" s="2">
        <v>2</v>
      </c>
      <c r="K11" t="s">
        <v>72</v>
      </c>
      <c r="M11" s="3">
        <f t="shared" si="0"/>
        <v>19</v>
      </c>
    </row>
    <row r="12" spans="1:13" x14ac:dyDescent="0.25">
      <c r="A12" t="s">
        <v>73</v>
      </c>
      <c r="B12" s="3">
        <v>5</v>
      </c>
      <c r="C12" t="s">
        <v>74</v>
      </c>
      <c r="D12" s="3">
        <v>5</v>
      </c>
      <c r="E12" t="s">
        <v>75</v>
      </c>
      <c r="F12" s="2">
        <v>5</v>
      </c>
      <c r="G12" t="s">
        <v>76</v>
      </c>
      <c r="H12" s="2">
        <v>5</v>
      </c>
      <c r="I12" t="s">
        <v>77</v>
      </c>
      <c r="J12" s="2">
        <v>3</v>
      </c>
      <c r="K12" t="s">
        <v>78</v>
      </c>
      <c r="M12" s="3">
        <f t="shared" si="0"/>
        <v>23</v>
      </c>
    </row>
    <row r="13" spans="1:13" x14ac:dyDescent="0.25">
      <c r="A13" t="s">
        <v>79</v>
      </c>
      <c r="B13" s="3">
        <v>5</v>
      </c>
      <c r="C13" t="s">
        <v>80</v>
      </c>
      <c r="D13" s="3">
        <v>3</v>
      </c>
      <c r="E13" t="s">
        <v>81</v>
      </c>
      <c r="F13" s="2">
        <v>5</v>
      </c>
      <c r="G13" t="s">
        <v>82</v>
      </c>
      <c r="H13" s="2">
        <v>4</v>
      </c>
      <c r="I13" t="s">
        <v>83</v>
      </c>
      <c r="J13" s="2">
        <v>4</v>
      </c>
      <c r="K13" t="s">
        <v>84</v>
      </c>
      <c r="M13" s="3">
        <f t="shared" si="0"/>
        <v>21</v>
      </c>
    </row>
    <row r="14" spans="1:13" x14ac:dyDescent="0.25">
      <c r="A14" t="s">
        <v>85</v>
      </c>
      <c r="B14" s="3">
        <v>5</v>
      </c>
      <c r="C14" t="s">
        <v>86</v>
      </c>
      <c r="D14" s="3">
        <v>0</v>
      </c>
      <c r="E14" t="s">
        <v>87</v>
      </c>
      <c r="F14" s="2">
        <v>0</v>
      </c>
      <c r="G14" t="s">
        <v>88</v>
      </c>
      <c r="H14" s="2">
        <v>0</v>
      </c>
      <c r="I14" t="s">
        <v>89</v>
      </c>
      <c r="J14" s="2">
        <v>5</v>
      </c>
      <c r="K14" t="s">
        <v>90</v>
      </c>
      <c r="L14" t="s">
        <v>91</v>
      </c>
      <c r="M14" s="3">
        <f t="shared" si="0"/>
        <v>10</v>
      </c>
    </row>
    <row r="15" spans="1:13" x14ac:dyDescent="0.25">
      <c r="A15" t="s">
        <v>92</v>
      </c>
      <c r="B15" s="3">
        <v>5</v>
      </c>
      <c r="C15" t="s">
        <v>93</v>
      </c>
      <c r="D15" s="3">
        <v>1</v>
      </c>
      <c r="E15" t="s">
        <v>94</v>
      </c>
      <c r="F15" s="2">
        <v>1</v>
      </c>
      <c r="G15" t="s">
        <v>95</v>
      </c>
      <c r="H15" s="2">
        <v>1</v>
      </c>
      <c r="I15" t="s">
        <v>96</v>
      </c>
      <c r="J15" s="2">
        <v>3</v>
      </c>
      <c r="K15" t="s">
        <v>97</v>
      </c>
      <c r="M15" s="3">
        <f t="shared" si="0"/>
        <v>11</v>
      </c>
    </row>
    <row r="16" spans="1:13" x14ac:dyDescent="0.25">
      <c r="A16" t="s">
        <v>98</v>
      </c>
      <c r="B16" s="3">
        <v>3</v>
      </c>
      <c r="C16" t="s">
        <v>99</v>
      </c>
      <c r="D16" s="3">
        <v>0</v>
      </c>
      <c r="E16" t="s">
        <v>100</v>
      </c>
      <c r="F16" s="2">
        <v>1</v>
      </c>
      <c r="G16" t="s">
        <v>101</v>
      </c>
      <c r="H16" s="2">
        <v>3</v>
      </c>
      <c r="I16" t="s">
        <v>102</v>
      </c>
      <c r="J16" s="2">
        <v>3</v>
      </c>
      <c r="K16" t="s">
        <v>103</v>
      </c>
      <c r="M16" s="3">
        <f t="shared" si="0"/>
        <v>10</v>
      </c>
    </row>
    <row r="17" spans="1:13" x14ac:dyDescent="0.25">
      <c r="A17" t="s">
        <v>104</v>
      </c>
      <c r="B17" s="3">
        <v>5</v>
      </c>
      <c r="C17" t="s">
        <v>105</v>
      </c>
      <c r="D17" s="3">
        <v>0</v>
      </c>
      <c r="E17" t="s">
        <v>106</v>
      </c>
      <c r="F17" s="2">
        <v>0</v>
      </c>
      <c r="G17" t="s">
        <v>107</v>
      </c>
      <c r="H17" s="2">
        <v>0</v>
      </c>
      <c r="I17" t="s">
        <v>108</v>
      </c>
      <c r="J17" s="2">
        <v>5</v>
      </c>
      <c r="K17" t="s">
        <v>109</v>
      </c>
      <c r="L17" t="s">
        <v>110</v>
      </c>
      <c r="M17" s="3">
        <f t="shared" si="0"/>
        <v>10</v>
      </c>
    </row>
    <row r="18" spans="1:13" x14ac:dyDescent="0.25">
      <c r="A18" t="s">
        <v>111</v>
      </c>
      <c r="B18" s="3">
        <v>2</v>
      </c>
      <c r="C18" t="s">
        <v>112</v>
      </c>
      <c r="D18" s="3">
        <v>0</v>
      </c>
      <c r="E18" t="s">
        <v>113</v>
      </c>
      <c r="F18" s="2">
        <v>1</v>
      </c>
      <c r="G18" t="s">
        <v>114</v>
      </c>
      <c r="H18" s="2">
        <v>3</v>
      </c>
      <c r="I18" t="s">
        <v>115</v>
      </c>
      <c r="J18" s="2">
        <v>3</v>
      </c>
      <c r="K18" t="s">
        <v>116</v>
      </c>
      <c r="M18" s="3">
        <f t="shared" si="0"/>
        <v>9</v>
      </c>
    </row>
    <row r="19" spans="1:13" x14ac:dyDescent="0.25">
      <c r="A19" t="s">
        <v>117</v>
      </c>
      <c r="B19" s="3">
        <v>3</v>
      </c>
      <c r="C19" t="s">
        <v>118</v>
      </c>
      <c r="D19" s="3">
        <v>3</v>
      </c>
      <c r="E19" t="s">
        <v>119</v>
      </c>
      <c r="F19" s="2">
        <v>4</v>
      </c>
      <c r="G19" t="s">
        <v>120</v>
      </c>
      <c r="H19" s="2">
        <v>4</v>
      </c>
      <c r="I19" t="s">
        <v>121</v>
      </c>
      <c r="J19" s="2">
        <v>3</v>
      </c>
      <c r="K19" t="s">
        <v>122</v>
      </c>
      <c r="M19" s="3">
        <f t="shared" si="0"/>
        <v>17</v>
      </c>
    </row>
    <row r="20" spans="1:13" x14ac:dyDescent="0.25">
      <c r="A20" t="s">
        <v>123</v>
      </c>
      <c r="B20" s="3">
        <v>4</v>
      </c>
      <c r="C20" t="s">
        <v>124</v>
      </c>
      <c r="D20" s="3">
        <v>4</v>
      </c>
      <c r="E20" t="s">
        <v>125</v>
      </c>
      <c r="F20" s="2">
        <v>5</v>
      </c>
      <c r="G20" t="s">
        <v>126</v>
      </c>
      <c r="H20" s="2">
        <v>5</v>
      </c>
      <c r="I20" t="s">
        <v>127</v>
      </c>
      <c r="J20" s="2">
        <v>5</v>
      </c>
      <c r="K20" t="s">
        <v>128</v>
      </c>
      <c r="M20" s="3">
        <f t="shared" si="0"/>
        <v>23</v>
      </c>
    </row>
    <row r="21" spans="1:13" x14ac:dyDescent="0.25">
      <c r="A21" t="s">
        <v>129</v>
      </c>
      <c r="B21" s="3">
        <v>5</v>
      </c>
      <c r="C21" t="s">
        <v>130</v>
      </c>
      <c r="D21" s="3">
        <v>0</v>
      </c>
      <c r="E21" t="s">
        <v>131</v>
      </c>
      <c r="F21" s="2">
        <v>0</v>
      </c>
      <c r="G21" t="s">
        <v>132</v>
      </c>
      <c r="H21" s="2">
        <v>0</v>
      </c>
      <c r="I21" t="s">
        <v>133</v>
      </c>
      <c r="J21" s="2">
        <v>5</v>
      </c>
      <c r="K21" t="s">
        <v>134</v>
      </c>
      <c r="M21" s="3">
        <f t="shared" si="0"/>
        <v>10</v>
      </c>
    </row>
    <row r="22" spans="1:13" x14ac:dyDescent="0.25">
      <c r="A22" t="s">
        <v>135</v>
      </c>
      <c r="B22" s="3">
        <v>4</v>
      </c>
      <c r="C22" t="s">
        <v>136</v>
      </c>
      <c r="D22" s="3">
        <v>1</v>
      </c>
      <c r="E22" t="s">
        <v>137</v>
      </c>
      <c r="F22" s="2">
        <v>3</v>
      </c>
      <c r="G22" t="s">
        <v>138</v>
      </c>
      <c r="H22" s="2">
        <v>1</v>
      </c>
      <c r="I22" t="s">
        <v>139</v>
      </c>
      <c r="J22" s="2">
        <v>4</v>
      </c>
      <c r="K22" t="s">
        <v>140</v>
      </c>
      <c r="M22" s="3">
        <f t="shared" si="0"/>
        <v>13</v>
      </c>
    </row>
    <row r="23" spans="1:13" x14ac:dyDescent="0.25">
      <c r="A23" t="s">
        <v>141</v>
      </c>
      <c r="B23" s="3">
        <v>5</v>
      </c>
      <c r="C23" t="s">
        <v>142</v>
      </c>
      <c r="D23" s="3">
        <v>4</v>
      </c>
      <c r="E23" t="s">
        <v>143</v>
      </c>
      <c r="F23" s="2">
        <v>5</v>
      </c>
      <c r="G23" t="s">
        <v>144</v>
      </c>
      <c r="H23" s="2">
        <v>5</v>
      </c>
      <c r="I23" t="s">
        <v>145</v>
      </c>
      <c r="J23" s="2">
        <v>2</v>
      </c>
      <c r="K23" t="s">
        <v>146</v>
      </c>
      <c r="M23" s="3">
        <f t="shared" si="0"/>
        <v>21</v>
      </c>
    </row>
    <row r="24" spans="1:13" x14ac:dyDescent="0.25">
      <c r="A24" t="s">
        <v>147</v>
      </c>
      <c r="B24" s="3">
        <v>4</v>
      </c>
      <c r="C24" t="s">
        <v>148</v>
      </c>
      <c r="D24" s="3">
        <v>1</v>
      </c>
      <c r="E24" t="s">
        <v>149</v>
      </c>
      <c r="F24" s="2">
        <v>1</v>
      </c>
      <c r="G24" t="s">
        <v>150</v>
      </c>
      <c r="H24" s="2">
        <v>3</v>
      </c>
      <c r="I24" t="s">
        <v>151</v>
      </c>
      <c r="J24" s="2">
        <v>3</v>
      </c>
      <c r="K24" t="s">
        <v>152</v>
      </c>
      <c r="M24" s="3">
        <f t="shared" si="0"/>
        <v>12</v>
      </c>
    </row>
    <row r="25" spans="1:13" x14ac:dyDescent="0.25">
      <c r="A25" t="s">
        <v>153</v>
      </c>
      <c r="B25" s="3">
        <v>3</v>
      </c>
      <c r="C25" t="s">
        <v>154</v>
      </c>
      <c r="D25" s="3">
        <v>0</v>
      </c>
      <c r="E25" t="s">
        <v>155</v>
      </c>
      <c r="F25" s="2">
        <v>2</v>
      </c>
      <c r="G25" t="s">
        <v>156</v>
      </c>
      <c r="H25" s="2">
        <v>3</v>
      </c>
      <c r="I25" t="s">
        <v>157</v>
      </c>
      <c r="J25" s="2">
        <v>4</v>
      </c>
      <c r="K25" t="s">
        <v>158</v>
      </c>
      <c r="M25" s="3">
        <f t="shared" si="0"/>
        <v>12</v>
      </c>
    </row>
    <row r="26" spans="1:13" x14ac:dyDescent="0.25">
      <c r="A26" t="s">
        <v>159</v>
      </c>
      <c r="B26" s="3">
        <v>4</v>
      </c>
      <c r="C26" t="s">
        <v>160</v>
      </c>
      <c r="D26" s="3">
        <v>5</v>
      </c>
      <c r="E26" t="s">
        <v>161</v>
      </c>
      <c r="F26" s="2">
        <v>4</v>
      </c>
      <c r="G26" t="s">
        <v>162</v>
      </c>
      <c r="H26" s="2">
        <v>5</v>
      </c>
      <c r="I26" t="s">
        <v>163</v>
      </c>
      <c r="J26" s="2">
        <v>2</v>
      </c>
      <c r="K26" t="s">
        <v>164</v>
      </c>
      <c r="M26" s="3">
        <f t="shared" si="0"/>
        <v>20</v>
      </c>
    </row>
    <row r="27" spans="1:13" x14ac:dyDescent="0.25">
      <c r="A27" t="s">
        <v>165</v>
      </c>
      <c r="B27" s="3">
        <v>2</v>
      </c>
      <c r="C27" t="s">
        <v>166</v>
      </c>
      <c r="D27" s="3">
        <v>1</v>
      </c>
      <c r="E27" t="s">
        <v>167</v>
      </c>
      <c r="F27" s="2">
        <v>1</v>
      </c>
      <c r="G27" t="s">
        <v>168</v>
      </c>
      <c r="H27" s="2">
        <v>3</v>
      </c>
      <c r="I27" t="s">
        <v>169</v>
      </c>
      <c r="J27" s="2">
        <v>3</v>
      </c>
      <c r="K27" t="s">
        <v>170</v>
      </c>
      <c r="M27" s="3">
        <f t="shared" si="0"/>
        <v>10</v>
      </c>
    </row>
    <row r="28" spans="1:13" x14ac:dyDescent="0.25">
      <c r="A28" t="s">
        <v>171</v>
      </c>
      <c r="B28" s="3">
        <v>2</v>
      </c>
      <c r="C28" t="s">
        <v>172</v>
      </c>
      <c r="D28" s="3">
        <v>0</v>
      </c>
      <c r="E28" t="s">
        <v>173</v>
      </c>
      <c r="F28" s="2">
        <v>1</v>
      </c>
      <c r="G28" t="s">
        <v>174</v>
      </c>
      <c r="H28" s="2">
        <v>3</v>
      </c>
      <c r="I28" t="s">
        <v>175</v>
      </c>
      <c r="J28" s="2">
        <v>3</v>
      </c>
      <c r="K28" t="s">
        <v>176</v>
      </c>
      <c r="M28" s="3">
        <f t="shared" si="0"/>
        <v>9</v>
      </c>
    </row>
    <row r="29" spans="1:13" x14ac:dyDescent="0.25">
      <c r="A29" t="s">
        <v>177</v>
      </c>
      <c r="B29" s="3">
        <v>4</v>
      </c>
      <c r="C29" t="s">
        <v>178</v>
      </c>
      <c r="D29" s="3">
        <v>1</v>
      </c>
      <c r="E29" t="s">
        <v>179</v>
      </c>
      <c r="F29" s="2">
        <v>1</v>
      </c>
      <c r="G29" t="s">
        <v>180</v>
      </c>
      <c r="H29" s="2">
        <v>5</v>
      </c>
      <c r="I29" t="s">
        <v>181</v>
      </c>
      <c r="J29" s="2">
        <v>4</v>
      </c>
      <c r="K29" t="s">
        <v>182</v>
      </c>
      <c r="M29" s="3">
        <f t="shared" si="0"/>
        <v>15</v>
      </c>
    </row>
    <row r="30" spans="1:13" x14ac:dyDescent="0.25">
      <c r="A30" t="s">
        <v>183</v>
      </c>
      <c r="B30" s="3">
        <v>3</v>
      </c>
      <c r="C30" t="s">
        <v>184</v>
      </c>
      <c r="D30" s="3">
        <v>0</v>
      </c>
      <c r="E30" t="s">
        <v>185</v>
      </c>
      <c r="F30" s="2">
        <v>1</v>
      </c>
      <c r="G30" t="s">
        <v>186</v>
      </c>
      <c r="H30" s="2">
        <v>3</v>
      </c>
      <c r="I30" t="s">
        <v>187</v>
      </c>
      <c r="J30" s="2">
        <v>3</v>
      </c>
      <c r="K30" t="s">
        <v>188</v>
      </c>
      <c r="M30" s="3">
        <f t="shared" si="0"/>
        <v>10</v>
      </c>
    </row>
    <row r="31" spans="1:13" x14ac:dyDescent="0.25">
      <c r="A31" t="s">
        <v>189</v>
      </c>
      <c r="B31" s="3">
        <v>5</v>
      </c>
      <c r="C31" t="s">
        <v>190</v>
      </c>
      <c r="D31" s="3">
        <v>3</v>
      </c>
      <c r="E31" t="s">
        <v>191</v>
      </c>
      <c r="F31" s="2">
        <v>4</v>
      </c>
      <c r="G31" t="s">
        <v>192</v>
      </c>
      <c r="H31" s="2">
        <v>1</v>
      </c>
      <c r="I31" t="s">
        <v>193</v>
      </c>
      <c r="J31" s="2">
        <v>3</v>
      </c>
      <c r="K31" t="s">
        <v>194</v>
      </c>
      <c r="M31" s="3">
        <f t="shared" si="0"/>
        <v>16</v>
      </c>
    </row>
    <row r="32" spans="1:13" x14ac:dyDescent="0.25">
      <c r="A32" t="s">
        <v>195</v>
      </c>
      <c r="B32" s="3">
        <v>5</v>
      </c>
      <c r="C32" t="s">
        <v>196</v>
      </c>
      <c r="D32" s="3">
        <v>0</v>
      </c>
      <c r="E32" t="s">
        <v>197</v>
      </c>
      <c r="F32" s="2">
        <v>0</v>
      </c>
      <c r="G32" t="s">
        <v>198</v>
      </c>
      <c r="H32" s="2">
        <v>0</v>
      </c>
      <c r="I32" t="s">
        <v>199</v>
      </c>
      <c r="J32" s="2">
        <v>5</v>
      </c>
      <c r="K32" t="s">
        <v>200</v>
      </c>
      <c r="L32" t="s">
        <v>201</v>
      </c>
      <c r="M32" s="3">
        <f t="shared" si="0"/>
        <v>10</v>
      </c>
    </row>
    <row r="33" spans="1:13" x14ac:dyDescent="0.25">
      <c r="A33" t="s">
        <v>202</v>
      </c>
      <c r="B33" s="3">
        <v>4</v>
      </c>
      <c r="C33" t="s">
        <v>203</v>
      </c>
      <c r="D33" s="3">
        <v>4</v>
      </c>
      <c r="E33" t="s">
        <v>204</v>
      </c>
      <c r="F33" s="2">
        <v>4</v>
      </c>
      <c r="G33" t="s">
        <v>205</v>
      </c>
      <c r="H33" s="2">
        <v>3</v>
      </c>
      <c r="I33" t="s">
        <v>206</v>
      </c>
      <c r="J33" s="2">
        <v>2</v>
      </c>
      <c r="K33" t="s">
        <v>207</v>
      </c>
      <c r="M33" s="3">
        <f t="shared" si="0"/>
        <v>17</v>
      </c>
    </row>
    <row r="34" spans="1:13" x14ac:dyDescent="0.25">
      <c r="A34" t="s">
        <v>208</v>
      </c>
      <c r="B34" s="3">
        <v>4</v>
      </c>
      <c r="C34" t="s">
        <v>209</v>
      </c>
      <c r="D34" s="3">
        <v>3</v>
      </c>
      <c r="E34" t="s">
        <v>210</v>
      </c>
      <c r="F34" s="2">
        <v>5</v>
      </c>
      <c r="G34" t="s">
        <v>211</v>
      </c>
      <c r="H34" s="2">
        <v>3</v>
      </c>
      <c r="I34" t="s">
        <v>212</v>
      </c>
      <c r="J34" s="2">
        <v>5</v>
      </c>
      <c r="K34" t="s">
        <v>213</v>
      </c>
      <c r="M34" s="3">
        <f t="shared" ref="M34:M65" si="1">SUM(B34,D34,F34,H34,J34)</f>
        <v>20</v>
      </c>
    </row>
    <row r="35" spans="1:13" x14ac:dyDescent="0.25">
      <c r="A35" t="s">
        <v>214</v>
      </c>
      <c r="B35" s="3">
        <v>5</v>
      </c>
      <c r="C35" t="s">
        <v>215</v>
      </c>
      <c r="D35" s="3">
        <v>5</v>
      </c>
      <c r="E35" t="s">
        <v>216</v>
      </c>
      <c r="F35" s="2">
        <v>5</v>
      </c>
      <c r="G35" t="s">
        <v>217</v>
      </c>
      <c r="H35" s="2">
        <v>5</v>
      </c>
      <c r="I35" t="s">
        <v>218</v>
      </c>
      <c r="J35" s="2">
        <v>2</v>
      </c>
      <c r="K35" t="s">
        <v>219</v>
      </c>
      <c r="M35" s="3">
        <f t="shared" si="1"/>
        <v>22</v>
      </c>
    </row>
    <row r="36" spans="1:13" x14ac:dyDescent="0.25">
      <c r="A36" t="s">
        <v>220</v>
      </c>
      <c r="B36" s="3">
        <v>3</v>
      </c>
      <c r="C36" t="s">
        <v>221</v>
      </c>
      <c r="D36" s="3">
        <v>0</v>
      </c>
      <c r="E36" t="s">
        <v>222</v>
      </c>
      <c r="F36" s="2">
        <v>1</v>
      </c>
      <c r="G36" t="s">
        <v>223</v>
      </c>
      <c r="H36" s="2">
        <v>3</v>
      </c>
      <c r="I36" t="s">
        <v>224</v>
      </c>
      <c r="J36" s="2">
        <v>3</v>
      </c>
      <c r="K36" t="s">
        <v>225</v>
      </c>
      <c r="M36" s="3">
        <f t="shared" si="1"/>
        <v>10</v>
      </c>
    </row>
    <row r="37" spans="1:13" x14ac:dyDescent="0.25">
      <c r="A37" t="s">
        <v>226</v>
      </c>
      <c r="B37" s="3">
        <v>5</v>
      </c>
      <c r="C37" t="s">
        <v>227</v>
      </c>
      <c r="D37" s="3">
        <v>4</v>
      </c>
      <c r="E37" t="s">
        <v>228</v>
      </c>
      <c r="F37" s="2">
        <v>5</v>
      </c>
      <c r="G37" t="s">
        <v>229</v>
      </c>
      <c r="H37" s="2">
        <v>5</v>
      </c>
      <c r="I37" t="s">
        <v>230</v>
      </c>
      <c r="J37" s="2">
        <v>4</v>
      </c>
      <c r="K37" t="s">
        <v>231</v>
      </c>
      <c r="M37" s="3">
        <f t="shared" si="1"/>
        <v>23</v>
      </c>
    </row>
    <row r="38" spans="1:13" x14ac:dyDescent="0.25">
      <c r="A38" t="s">
        <v>232</v>
      </c>
      <c r="B38" s="3">
        <v>5</v>
      </c>
      <c r="C38" t="s">
        <v>233</v>
      </c>
      <c r="D38" s="3">
        <v>0</v>
      </c>
      <c r="E38" t="s">
        <v>234</v>
      </c>
      <c r="F38" s="2">
        <v>0</v>
      </c>
      <c r="G38" t="s">
        <v>235</v>
      </c>
      <c r="H38" s="2">
        <v>0</v>
      </c>
      <c r="I38" t="s">
        <v>236</v>
      </c>
      <c r="J38" s="2">
        <v>5</v>
      </c>
      <c r="K38" t="s">
        <v>237</v>
      </c>
      <c r="M38" s="3">
        <f t="shared" si="1"/>
        <v>10</v>
      </c>
    </row>
    <row r="39" spans="1:13" x14ac:dyDescent="0.25">
      <c r="A39" t="s">
        <v>238</v>
      </c>
      <c r="B39" s="3">
        <v>5</v>
      </c>
      <c r="C39" t="s">
        <v>239</v>
      </c>
      <c r="D39" s="3">
        <v>5</v>
      </c>
      <c r="E39" t="s">
        <v>240</v>
      </c>
      <c r="F39" s="2">
        <v>4</v>
      </c>
      <c r="G39" t="s">
        <v>241</v>
      </c>
      <c r="H39" s="2">
        <v>5</v>
      </c>
      <c r="I39" t="s">
        <v>242</v>
      </c>
      <c r="J39" s="2">
        <v>2</v>
      </c>
      <c r="K39" t="s">
        <v>243</v>
      </c>
      <c r="M39" s="3">
        <f t="shared" si="1"/>
        <v>21</v>
      </c>
    </row>
    <row r="40" spans="1:13" x14ac:dyDescent="0.25">
      <c r="A40" t="s">
        <v>244</v>
      </c>
      <c r="B40" s="3">
        <v>4</v>
      </c>
      <c r="C40" t="s">
        <v>245</v>
      </c>
      <c r="D40" s="3">
        <v>1</v>
      </c>
      <c r="E40" t="s">
        <v>246</v>
      </c>
      <c r="F40" s="2">
        <v>1</v>
      </c>
      <c r="G40" t="s">
        <v>247</v>
      </c>
      <c r="H40" s="2">
        <v>4</v>
      </c>
      <c r="I40" t="s">
        <v>248</v>
      </c>
      <c r="J40" s="2">
        <v>4</v>
      </c>
      <c r="K40" t="s">
        <v>249</v>
      </c>
      <c r="M40" s="3">
        <f t="shared" si="1"/>
        <v>14</v>
      </c>
    </row>
    <row r="41" spans="1:13" x14ac:dyDescent="0.25">
      <c r="A41" t="s">
        <v>250</v>
      </c>
      <c r="B41" s="3">
        <v>5</v>
      </c>
      <c r="C41" t="s">
        <v>251</v>
      </c>
      <c r="D41" s="3">
        <v>0</v>
      </c>
      <c r="E41" t="s">
        <v>252</v>
      </c>
      <c r="F41" s="2">
        <v>0</v>
      </c>
      <c r="G41" t="s">
        <v>253</v>
      </c>
      <c r="H41" s="2">
        <v>0</v>
      </c>
      <c r="I41" t="s">
        <v>254</v>
      </c>
      <c r="J41" s="2">
        <v>5</v>
      </c>
      <c r="K41" t="s">
        <v>255</v>
      </c>
      <c r="M41" s="3">
        <f t="shared" si="1"/>
        <v>10</v>
      </c>
    </row>
    <row r="42" spans="1:13" x14ac:dyDescent="0.25">
      <c r="A42" t="s">
        <v>256</v>
      </c>
      <c r="B42" s="3">
        <v>5</v>
      </c>
      <c r="C42" t="s">
        <v>257</v>
      </c>
      <c r="D42" s="3">
        <v>4</v>
      </c>
      <c r="E42" t="s">
        <v>258</v>
      </c>
      <c r="F42" s="2">
        <v>4</v>
      </c>
      <c r="G42" t="s">
        <v>259</v>
      </c>
      <c r="H42" s="2">
        <v>3</v>
      </c>
      <c r="I42" t="s">
        <v>260</v>
      </c>
      <c r="J42" s="2">
        <v>2</v>
      </c>
      <c r="K42" t="s">
        <v>261</v>
      </c>
      <c r="M42" s="3">
        <f t="shared" si="1"/>
        <v>18</v>
      </c>
    </row>
    <row r="43" spans="1:13" x14ac:dyDescent="0.25">
      <c r="A43" t="s">
        <v>262</v>
      </c>
      <c r="B43" s="3">
        <v>2</v>
      </c>
      <c r="C43" t="s">
        <v>263</v>
      </c>
      <c r="D43" s="3">
        <v>2</v>
      </c>
      <c r="E43" t="s">
        <v>264</v>
      </c>
      <c r="F43" s="2">
        <v>2</v>
      </c>
      <c r="G43" t="s">
        <v>265</v>
      </c>
      <c r="H43" s="2">
        <v>3</v>
      </c>
      <c r="I43" t="s">
        <v>266</v>
      </c>
      <c r="J43" s="2">
        <v>2</v>
      </c>
      <c r="K43" t="s">
        <v>267</v>
      </c>
      <c r="M43" s="3">
        <f t="shared" si="1"/>
        <v>11</v>
      </c>
    </row>
    <row r="44" spans="1:13" x14ac:dyDescent="0.25">
      <c r="A44" t="s">
        <v>268</v>
      </c>
      <c r="B44" s="3">
        <v>5</v>
      </c>
      <c r="C44" t="s">
        <v>269</v>
      </c>
      <c r="D44" s="3">
        <v>5</v>
      </c>
      <c r="E44" t="s">
        <v>270</v>
      </c>
      <c r="F44" s="2">
        <v>5</v>
      </c>
      <c r="G44" t="s">
        <v>271</v>
      </c>
      <c r="H44" s="2">
        <v>5</v>
      </c>
      <c r="I44" t="s">
        <v>272</v>
      </c>
      <c r="J44" s="2">
        <v>3</v>
      </c>
      <c r="K44" t="s">
        <v>273</v>
      </c>
      <c r="M44" s="3">
        <f t="shared" si="1"/>
        <v>23</v>
      </c>
    </row>
    <row r="45" spans="1:13" x14ac:dyDescent="0.25">
      <c r="A45" t="s">
        <v>274</v>
      </c>
      <c r="B45" s="3">
        <v>5</v>
      </c>
      <c r="C45" t="s">
        <v>275</v>
      </c>
      <c r="D45" s="3">
        <v>0</v>
      </c>
      <c r="E45" t="s">
        <v>276</v>
      </c>
      <c r="F45" s="2">
        <v>0</v>
      </c>
      <c r="G45" t="s">
        <v>277</v>
      </c>
      <c r="H45" s="2">
        <v>0</v>
      </c>
      <c r="I45" t="s">
        <v>254</v>
      </c>
      <c r="J45" s="2">
        <v>5</v>
      </c>
      <c r="K45" t="s">
        <v>278</v>
      </c>
      <c r="M45" s="3">
        <f t="shared" si="1"/>
        <v>10</v>
      </c>
    </row>
    <row r="46" spans="1:13" x14ac:dyDescent="0.25">
      <c r="A46" t="s">
        <v>279</v>
      </c>
      <c r="B46" s="3">
        <v>4</v>
      </c>
      <c r="C46" t="s">
        <v>280</v>
      </c>
      <c r="D46" s="3">
        <v>1</v>
      </c>
      <c r="E46" t="s">
        <v>281</v>
      </c>
      <c r="F46" s="2">
        <v>1</v>
      </c>
      <c r="G46" t="s">
        <v>282</v>
      </c>
      <c r="H46" s="2">
        <v>4</v>
      </c>
      <c r="I46" t="s">
        <v>283</v>
      </c>
      <c r="J46" s="2">
        <v>3</v>
      </c>
      <c r="K46" t="s">
        <v>284</v>
      </c>
      <c r="M46" s="3">
        <f t="shared" si="1"/>
        <v>13</v>
      </c>
    </row>
    <row r="47" spans="1:13" x14ac:dyDescent="0.25">
      <c r="A47" t="s">
        <v>285</v>
      </c>
      <c r="B47" s="3">
        <v>5</v>
      </c>
      <c r="C47" t="s">
        <v>286</v>
      </c>
      <c r="D47" s="3">
        <v>3</v>
      </c>
      <c r="E47" t="s">
        <v>287</v>
      </c>
      <c r="F47" s="2">
        <v>5</v>
      </c>
      <c r="G47" t="s">
        <v>288</v>
      </c>
      <c r="H47" s="2">
        <v>4</v>
      </c>
      <c r="I47" t="s">
        <v>289</v>
      </c>
      <c r="J47" s="2">
        <v>4</v>
      </c>
      <c r="K47" t="s">
        <v>290</v>
      </c>
      <c r="M47" s="3">
        <f t="shared" si="1"/>
        <v>21</v>
      </c>
    </row>
    <row r="48" spans="1:13" x14ac:dyDescent="0.25">
      <c r="A48" t="s">
        <v>291</v>
      </c>
      <c r="B48" s="3">
        <v>5</v>
      </c>
      <c r="C48" t="s">
        <v>292</v>
      </c>
      <c r="D48" s="3">
        <v>0</v>
      </c>
      <c r="E48" t="s">
        <v>293</v>
      </c>
      <c r="F48" s="2">
        <v>0</v>
      </c>
      <c r="G48" t="s">
        <v>294</v>
      </c>
      <c r="H48" s="2">
        <v>0</v>
      </c>
      <c r="I48" t="s">
        <v>236</v>
      </c>
      <c r="J48" s="2">
        <v>5</v>
      </c>
      <c r="K48" t="s">
        <v>295</v>
      </c>
      <c r="M48" s="3">
        <f t="shared" si="1"/>
        <v>10</v>
      </c>
    </row>
    <row r="49" spans="1:13" x14ac:dyDescent="0.25">
      <c r="A49" t="s">
        <v>296</v>
      </c>
      <c r="B49" s="3">
        <v>4</v>
      </c>
      <c r="C49" t="s">
        <v>297</v>
      </c>
      <c r="D49" s="3">
        <v>2</v>
      </c>
      <c r="E49" t="s">
        <v>298</v>
      </c>
      <c r="F49" s="2">
        <v>3</v>
      </c>
      <c r="G49" t="s">
        <v>299</v>
      </c>
      <c r="H49" s="2">
        <v>5</v>
      </c>
      <c r="I49" t="s">
        <v>300</v>
      </c>
      <c r="J49" s="2">
        <v>4</v>
      </c>
      <c r="K49" t="s">
        <v>301</v>
      </c>
      <c r="M49" s="3">
        <f t="shared" si="1"/>
        <v>18</v>
      </c>
    </row>
    <row r="50" spans="1:13" x14ac:dyDescent="0.25">
      <c r="A50" t="s">
        <v>302</v>
      </c>
      <c r="B50" s="3">
        <v>5</v>
      </c>
      <c r="C50" t="s">
        <v>303</v>
      </c>
      <c r="D50" s="3">
        <v>4</v>
      </c>
      <c r="E50" t="s">
        <v>304</v>
      </c>
      <c r="F50" s="2">
        <v>4</v>
      </c>
      <c r="G50" t="s">
        <v>305</v>
      </c>
      <c r="H50" s="2">
        <v>5</v>
      </c>
      <c r="I50" t="s">
        <v>306</v>
      </c>
      <c r="J50" s="2">
        <v>4</v>
      </c>
      <c r="K50" t="s">
        <v>307</v>
      </c>
      <c r="M50" s="3">
        <f t="shared" si="1"/>
        <v>22</v>
      </c>
    </row>
    <row r="51" spans="1:13" x14ac:dyDescent="0.25">
      <c r="A51" t="s">
        <v>308</v>
      </c>
      <c r="B51" s="3">
        <v>2</v>
      </c>
      <c r="C51" t="s">
        <v>309</v>
      </c>
      <c r="D51" s="3">
        <v>1</v>
      </c>
      <c r="E51" t="s">
        <v>310</v>
      </c>
      <c r="F51" s="2">
        <v>0</v>
      </c>
      <c r="G51" t="s">
        <v>311</v>
      </c>
      <c r="H51" s="2">
        <v>2</v>
      </c>
      <c r="I51" t="s">
        <v>312</v>
      </c>
      <c r="J51" s="2">
        <v>1</v>
      </c>
      <c r="K51" t="s">
        <v>313</v>
      </c>
      <c r="M51" s="3">
        <f t="shared" si="1"/>
        <v>6</v>
      </c>
    </row>
    <row r="52" spans="1:13" x14ac:dyDescent="0.25">
      <c r="A52" t="s">
        <v>314</v>
      </c>
      <c r="B52" s="3">
        <v>5</v>
      </c>
      <c r="C52" t="s">
        <v>315</v>
      </c>
      <c r="D52" s="3">
        <v>3</v>
      </c>
      <c r="E52" t="s">
        <v>316</v>
      </c>
      <c r="F52" s="2">
        <v>5</v>
      </c>
      <c r="G52" t="s">
        <v>317</v>
      </c>
      <c r="H52" s="2">
        <v>4</v>
      </c>
      <c r="I52" t="s">
        <v>318</v>
      </c>
      <c r="J52" s="2">
        <v>4</v>
      </c>
      <c r="K52" t="s">
        <v>319</v>
      </c>
      <c r="M52" s="3">
        <f t="shared" si="1"/>
        <v>21</v>
      </c>
    </row>
    <row r="53" spans="1:13" x14ac:dyDescent="0.25">
      <c r="A53" t="s">
        <v>320</v>
      </c>
      <c r="B53" s="3">
        <v>5</v>
      </c>
      <c r="C53" t="s">
        <v>321</v>
      </c>
      <c r="D53" s="3">
        <v>0</v>
      </c>
      <c r="E53" t="s">
        <v>322</v>
      </c>
      <c r="F53" s="2">
        <v>0</v>
      </c>
      <c r="G53" t="s">
        <v>323</v>
      </c>
      <c r="H53" s="2">
        <v>0</v>
      </c>
      <c r="I53" t="s">
        <v>236</v>
      </c>
      <c r="J53" s="2">
        <v>5</v>
      </c>
      <c r="K53" t="s">
        <v>324</v>
      </c>
      <c r="M53" s="3">
        <f t="shared" si="1"/>
        <v>10</v>
      </c>
    </row>
    <row r="54" spans="1:13" x14ac:dyDescent="0.25">
      <c r="A54" t="s">
        <v>325</v>
      </c>
      <c r="B54" s="3">
        <v>4</v>
      </c>
      <c r="C54" t="s">
        <v>326</v>
      </c>
      <c r="D54" s="3">
        <v>5</v>
      </c>
      <c r="E54" t="s">
        <v>327</v>
      </c>
      <c r="F54" s="2">
        <v>4</v>
      </c>
      <c r="G54" t="s">
        <v>328</v>
      </c>
      <c r="H54" s="2">
        <v>5</v>
      </c>
      <c r="I54" t="s">
        <v>329</v>
      </c>
      <c r="J54" s="2">
        <v>2</v>
      </c>
      <c r="K54" t="s">
        <v>330</v>
      </c>
      <c r="M54" s="3">
        <f t="shared" si="1"/>
        <v>20</v>
      </c>
    </row>
    <row r="55" spans="1:13" x14ac:dyDescent="0.25">
      <c r="A55" t="s">
        <v>331</v>
      </c>
      <c r="B55" s="3">
        <v>2</v>
      </c>
      <c r="C55" t="s">
        <v>332</v>
      </c>
      <c r="D55" s="3">
        <v>1</v>
      </c>
      <c r="E55" t="s">
        <v>333</v>
      </c>
      <c r="F55" s="2">
        <v>2</v>
      </c>
      <c r="G55" t="s">
        <v>334</v>
      </c>
      <c r="H55" s="2">
        <v>4</v>
      </c>
      <c r="I55" t="s">
        <v>335</v>
      </c>
      <c r="J55" s="2">
        <v>3</v>
      </c>
      <c r="K55" t="s">
        <v>336</v>
      </c>
      <c r="M55" s="3">
        <f t="shared" si="1"/>
        <v>12</v>
      </c>
    </row>
    <row r="56" spans="1:13" x14ac:dyDescent="0.25">
      <c r="A56" t="s">
        <v>337</v>
      </c>
      <c r="B56" s="3">
        <v>4</v>
      </c>
      <c r="C56" t="s">
        <v>338</v>
      </c>
      <c r="D56" s="3">
        <v>5</v>
      </c>
      <c r="E56" t="s">
        <v>339</v>
      </c>
      <c r="F56" s="2">
        <v>3</v>
      </c>
      <c r="G56" t="s">
        <v>340</v>
      </c>
      <c r="H56" s="2">
        <v>4</v>
      </c>
      <c r="I56" t="s">
        <v>341</v>
      </c>
      <c r="J56" s="2">
        <v>4</v>
      </c>
      <c r="K56" t="s">
        <v>342</v>
      </c>
      <c r="M56" s="3">
        <f t="shared" si="1"/>
        <v>20</v>
      </c>
    </row>
    <row r="57" spans="1:13" x14ac:dyDescent="0.25">
      <c r="A57" t="s">
        <v>343</v>
      </c>
      <c r="B57" s="3">
        <v>5</v>
      </c>
      <c r="C57" t="s">
        <v>344</v>
      </c>
      <c r="D57" s="3">
        <v>0</v>
      </c>
      <c r="E57" t="s">
        <v>345</v>
      </c>
      <c r="F57" s="2">
        <v>0</v>
      </c>
      <c r="G57" t="s">
        <v>346</v>
      </c>
      <c r="H57" s="2">
        <v>0</v>
      </c>
      <c r="I57" t="s">
        <v>347</v>
      </c>
      <c r="J57" s="2">
        <v>5</v>
      </c>
      <c r="K57" t="s">
        <v>348</v>
      </c>
      <c r="M57" s="3">
        <f t="shared" si="1"/>
        <v>10</v>
      </c>
    </row>
    <row r="58" spans="1:13" x14ac:dyDescent="0.25">
      <c r="A58" t="s">
        <v>349</v>
      </c>
      <c r="B58" s="3">
        <v>2</v>
      </c>
      <c r="C58" t="s">
        <v>350</v>
      </c>
      <c r="D58" s="3">
        <v>1</v>
      </c>
      <c r="E58" t="s">
        <v>351</v>
      </c>
      <c r="F58" s="2">
        <v>1</v>
      </c>
      <c r="G58" t="s">
        <v>352</v>
      </c>
      <c r="H58" s="2">
        <v>3</v>
      </c>
      <c r="I58" t="s">
        <v>353</v>
      </c>
      <c r="J58" s="2">
        <v>2</v>
      </c>
      <c r="K58" t="s">
        <v>354</v>
      </c>
      <c r="M58" s="3">
        <f t="shared" si="1"/>
        <v>9</v>
      </c>
    </row>
    <row r="59" spans="1:13" x14ac:dyDescent="0.25">
      <c r="A59" t="s">
        <v>355</v>
      </c>
      <c r="B59" s="3">
        <v>5</v>
      </c>
      <c r="C59" t="s">
        <v>356</v>
      </c>
      <c r="D59" s="3">
        <v>1</v>
      </c>
      <c r="E59" t="s">
        <v>357</v>
      </c>
      <c r="F59" s="2">
        <v>3</v>
      </c>
      <c r="G59" t="s">
        <v>358</v>
      </c>
      <c r="H59" s="2">
        <v>0</v>
      </c>
      <c r="I59" t="s">
        <v>359</v>
      </c>
      <c r="J59" s="2">
        <v>4</v>
      </c>
      <c r="K59" t="s">
        <v>360</v>
      </c>
      <c r="M59" s="3">
        <f t="shared" si="1"/>
        <v>13</v>
      </c>
    </row>
    <row r="60" spans="1:13" x14ac:dyDescent="0.25">
      <c r="A60" t="s">
        <v>361</v>
      </c>
      <c r="B60" s="3">
        <v>5</v>
      </c>
      <c r="C60" t="s">
        <v>362</v>
      </c>
      <c r="D60" s="3">
        <v>5</v>
      </c>
      <c r="E60" t="s">
        <v>363</v>
      </c>
      <c r="F60" s="2">
        <v>1</v>
      </c>
      <c r="G60" t="s">
        <v>364</v>
      </c>
      <c r="H60" s="2">
        <v>4</v>
      </c>
      <c r="I60" t="s">
        <v>365</v>
      </c>
      <c r="J60" s="2">
        <v>2</v>
      </c>
      <c r="K60" t="s">
        <v>366</v>
      </c>
      <c r="M60" s="3">
        <f t="shared" si="1"/>
        <v>17</v>
      </c>
    </row>
    <row r="61" spans="1:13" x14ac:dyDescent="0.25">
      <c r="A61" t="s">
        <v>367</v>
      </c>
      <c r="B61" s="3">
        <v>5</v>
      </c>
      <c r="C61" t="s">
        <v>368</v>
      </c>
      <c r="D61" s="3">
        <v>3</v>
      </c>
      <c r="E61" t="s">
        <v>369</v>
      </c>
      <c r="F61" s="2">
        <v>4</v>
      </c>
      <c r="G61" t="s">
        <v>370</v>
      </c>
      <c r="H61" s="2">
        <v>3</v>
      </c>
      <c r="I61" t="s">
        <v>371</v>
      </c>
      <c r="J61" s="2">
        <v>5</v>
      </c>
      <c r="K61" t="s">
        <v>372</v>
      </c>
      <c r="M61" s="3">
        <f t="shared" si="1"/>
        <v>20</v>
      </c>
    </row>
    <row r="62" spans="1:13" x14ac:dyDescent="0.25">
      <c r="A62" t="s">
        <v>373</v>
      </c>
      <c r="B62" s="3">
        <v>5</v>
      </c>
      <c r="C62" t="s">
        <v>344</v>
      </c>
      <c r="D62" s="3">
        <v>0</v>
      </c>
      <c r="E62" t="s">
        <v>374</v>
      </c>
      <c r="F62" s="2">
        <v>0</v>
      </c>
      <c r="G62" t="s">
        <v>375</v>
      </c>
      <c r="H62" s="2">
        <v>0</v>
      </c>
      <c r="I62" t="s">
        <v>376</v>
      </c>
      <c r="J62" s="2">
        <v>5</v>
      </c>
      <c r="K62" t="s">
        <v>348</v>
      </c>
      <c r="M62" s="3">
        <f t="shared" si="1"/>
        <v>10</v>
      </c>
    </row>
    <row r="63" spans="1:13" x14ac:dyDescent="0.25">
      <c r="A63" t="s">
        <v>377</v>
      </c>
      <c r="B63" s="3">
        <v>4</v>
      </c>
      <c r="C63" t="s">
        <v>378</v>
      </c>
      <c r="D63" s="3">
        <v>5</v>
      </c>
      <c r="E63" t="s">
        <v>379</v>
      </c>
      <c r="F63" s="2">
        <v>3</v>
      </c>
      <c r="G63" t="s">
        <v>380</v>
      </c>
      <c r="H63" s="2">
        <v>4</v>
      </c>
      <c r="I63" t="s">
        <v>381</v>
      </c>
      <c r="J63" s="2">
        <v>4</v>
      </c>
      <c r="K63" t="s">
        <v>382</v>
      </c>
      <c r="M63" s="3">
        <f t="shared" si="1"/>
        <v>20</v>
      </c>
    </row>
    <row r="64" spans="1:13" x14ac:dyDescent="0.25">
      <c r="A64" t="s">
        <v>383</v>
      </c>
      <c r="B64" s="3">
        <v>5</v>
      </c>
      <c r="C64" t="s">
        <v>384</v>
      </c>
      <c r="D64" s="3">
        <v>3</v>
      </c>
      <c r="E64" t="s">
        <v>385</v>
      </c>
      <c r="F64" s="2">
        <v>5</v>
      </c>
      <c r="G64" t="s">
        <v>386</v>
      </c>
      <c r="H64" s="2">
        <v>2</v>
      </c>
      <c r="I64" t="s">
        <v>387</v>
      </c>
      <c r="J64" s="2">
        <v>5</v>
      </c>
      <c r="K64" t="s">
        <v>388</v>
      </c>
      <c r="M64" s="3">
        <f t="shared" si="1"/>
        <v>20</v>
      </c>
    </row>
    <row r="65" spans="1:13" x14ac:dyDescent="0.25">
      <c r="A65" t="s">
        <v>389</v>
      </c>
      <c r="B65" s="3">
        <v>5</v>
      </c>
      <c r="C65" t="s">
        <v>390</v>
      </c>
      <c r="D65" s="3">
        <v>0</v>
      </c>
      <c r="E65" t="s">
        <v>391</v>
      </c>
      <c r="F65" s="2">
        <v>0</v>
      </c>
      <c r="G65" t="s">
        <v>392</v>
      </c>
      <c r="H65" s="2">
        <v>0</v>
      </c>
      <c r="I65" t="s">
        <v>393</v>
      </c>
      <c r="J65" s="2">
        <v>5</v>
      </c>
      <c r="K65" t="s">
        <v>394</v>
      </c>
      <c r="M65" s="3">
        <f t="shared" si="1"/>
        <v>10</v>
      </c>
    </row>
    <row r="66" spans="1:13" x14ac:dyDescent="0.25">
      <c r="A66" t="s">
        <v>395</v>
      </c>
      <c r="B66" s="3">
        <v>5</v>
      </c>
      <c r="C66" t="s">
        <v>396</v>
      </c>
      <c r="D66" s="3">
        <v>0</v>
      </c>
      <c r="E66" t="s">
        <v>397</v>
      </c>
      <c r="F66" s="2">
        <v>0</v>
      </c>
      <c r="G66" t="s">
        <v>398</v>
      </c>
      <c r="H66" s="2">
        <v>0</v>
      </c>
      <c r="I66" t="s">
        <v>399</v>
      </c>
      <c r="J66" s="2">
        <v>5</v>
      </c>
      <c r="K66" t="s">
        <v>400</v>
      </c>
      <c r="M66" s="3">
        <f t="shared" ref="M66:M97" si="2">SUM(B66,D66,F66,H66,J66)</f>
        <v>10</v>
      </c>
    </row>
    <row r="67" spans="1:13" x14ac:dyDescent="0.25">
      <c r="A67" t="s">
        <v>401</v>
      </c>
      <c r="B67" s="3">
        <v>3</v>
      </c>
      <c r="C67" t="s">
        <v>402</v>
      </c>
      <c r="D67" s="3">
        <v>0</v>
      </c>
      <c r="E67" t="s">
        <v>397</v>
      </c>
      <c r="F67" s="2">
        <v>0</v>
      </c>
      <c r="G67" t="s">
        <v>403</v>
      </c>
      <c r="H67" s="2">
        <v>0</v>
      </c>
      <c r="I67" t="s">
        <v>236</v>
      </c>
      <c r="J67" s="2">
        <v>3</v>
      </c>
      <c r="K67" t="s">
        <v>404</v>
      </c>
      <c r="M67" s="3">
        <f t="shared" si="2"/>
        <v>6</v>
      </c>
    </row>
    <row r="68" spans="1:13" x14ac:dyDescent="0.25">
      <c r="A68" t="s">
        <v>405</v>
      </c>
      <c r="B68" s="3">
        <v>5</v>
      </c>
      <c r="C68" t="s">
        <v>406</v>
      </c>
      <c r="D68" s="3">
        <v>0</v>
      </c>
      <c r="E68" t="s">
        <v>407</v>
      </c>
      <c r="F68" s="2">
        <v>0</v>
      </c>
      <c r="G68" t="s">
        <v>408</v>
      </c>
      <c r="H68" s="2">
        <v>0</v>
      </c>
      <c r="I68" t="s">
        <v>409</v>
      </c>
      <c r="J68" s="2">
        <v>5</v>
      </c>
      <c r="K68" t="s">
        <v>410</v>
      </c>
      <c r="M68" s="3">
        <f t="shared" si="2"/>
        <v>10</v>
      </c>
    </row>
    <row r="69" spans="1:13" x14ac:dyDescent="0.25">
      <c r="A69" t="s">
        <v>411</v>
      </c>
      <c r="B69" s="3">
        <v>4</v>
      </c>
      <c r="C69" t="s">
        <v>412</v>
      </c>
      <c r="D69" s="3">
        <v>3</v>
      </c>
      <c r="E69" t="s">
        <v>413</v>
      </c>
      <c r="F69" s="2">
        <v>4</v>
      </c>
      <c r="G69" t="s">
        <v>414</v>
      </c>
      <c r="H69" s="2">
        <v>2</v>
      </c>
      <c r="I69" t="s">
        <v>415</v>
      </c>
      <c r="J69" s="2">
        <v>2</v>
      </c>
      <c r="K69" t="s">
        <v>416</v>
      </c>
      <c r="M69" s="3">
        <f t="shared" si="2"/>
        <v>15</v>
      </c>
    </row>
    <row r="70" spans="1:13" x14ac:dyDescent="0.25">
      <c r="A70" t="s">
        <v>417</v>
      </c>
      <c r="B70" s="3">
        <v>5</v>
      </c>
      <c r="C70" t="s">
        <v>418</v>
      </c>
      <c r="D70" s="3">
        <v>5</v>
      </c>
      <c r="E70" t="s">
        <v>419</v>
      </c>
      <c r="F70" s="2">
        <v>5</v>
      </c>
      <c r="G70" t="s">
        <v>420</v>
      </c>
      <c r="H70" s="2">
        <v>1</v>
      </c>
      <c r="I70" t="s">
        <v>421</v>
      </c>
      <c r="J70" s="2">
        <v>2</v>
      </c>
      <c r="K70" t="s">
        <v>422</v>
      </c>
      <c r="M70" s="3">
        <f t="shared" si="2"/>
        <v>18</v>
      </c>
    </row>
    <row r="71" spans="1:13" x14ac:dyDescent="0.25">
      <c r="A71" t="s">
        <v>423</v>
      </c>
      <c r="B71" s="3">
        <v>5</v>
      </c>
      <c r="C71" t="s">
        <v>424</v>
      </c>
      <c r="D71" s="3">
        <v>2</v>
      </c>
      <c r="E71" t="s">
        <v>425</v>
      </c>
      <c r="F71" s="2">
        <v>4</v>
      </c>
      <c r="G71" t="s">
        <v>426</v>
      </c>
      <c r="H71" s="2">
        <v>2</v>
      </c>
      <c r="I71" t="s">
        <v>427</v>
      </c>
      <c r="J71" s="2">
        <v>5</v>
      </c>
      <c r="K71" t="s">
        <v>428</v>
      </c>
      <c r="M71" s="3">
        <f t="shared" si="2"/>
        <v>18</v>
      </c>
    </row>
    <row r="72" spans="1:13" x14ac:dyDescent="0.25">
      <c r="A72" t="s">
        <v>429</v>
      </c>
      <c r="B72" s="3">
        <v>1</v>
      </c>
      <c r="C72" t="s">
        <v>430</v>
      </c>
      <c r="D72" s="3">
        <v>0</v>
      </c>
      <c r="E72" t="s">
        <v>431</v>
      </c>
      <c r="F72" s="2">
        <v>1</v>
      </c>
      <c r="G72" t="s">
        <v>432</v>
      </c>
      <c r="H72" s="2">
        <v>3</v>
      </c>
      <c r="I72" t="s">
        <v>433</v>
      </c>
      <c r="J72" s="2">
        <v>2</v>
      </c>
      <c r="K72" t="s">
        <v>434</v>
      </c>
      <c r="M72" s="3">
        <f t="shared" si="2"/>
        <v>7</v>
      </c>
    </row>
    <row r="73" spans="1:13" x14ac:dyDescent="0.25">
      <c r="A73" t="s">
        <v>435</v>
      </c>
      <c r="B73" s="3">
        <v>5</v>
      </c>
      <c r="C73" t="s">
        <v>436</v>
      </c>
      <c r="D73" s="3">
        <v>1</v>
      </c>
      <c r="E73" t="s">
        <v>437</v>
      </c>
      <c r="F73" s="2">
        <v>4</v>
      </c>
      <c r="G73" t="s">
        <v>438</v>
      </c>
      <c r="H73" s="2">
        <v>0</v>
      </c>
      <c r="I73" t="s">
        <v>439</v>
      </c>
      <c r="J73" s="2">
        <v>5</v>
      </c>
      <c r="K73" t="s">
        <v>440</v>
      </c>
      <c r="M73" s="3">
        <f t="shared" si="2"/>
        <v>15</v>
      </c>
    </row>
    <row r="74" spans="1:13" x14ac:dyDescent="0.25">
      <c r="A74" t="s">
        <v>441</v>
      </c>
      <c r="B74" s="3">
        <v>5</v>
      </c>
      <c r="C74" t="s">
        <v>344</v>
      </c>
      <c r="D74" s="3">
        <v>0</v>
      </c>
      <c r="E74" t="s">
        <v>442</v>
      </c>
      <c r="F74" s="2">
        <v>0</v>
      </c>
      <c r="G74" t="s">
        <v>443</v>
      </c>
      <c r="H74" s="2">
        <v>0</v>
      </c>
      <c r="I74" t="s">
        <v>444</v>
      </c>
      <c r="J74" s="2">
        <v>5</v>
      </c>
      <c r="K74" t="s">
        <v>348</v>
      </c>
      <c r="M74" s="3">
        <f t="shared" si="2"/>
        <v>10</v>
      </c>
    </row>
    <row r="75" spans="1:13" x14ac:dyDescent="0.25">
      <c r="A75" t="s">
        <v>445</v>
      </c>
      <c r="B75" s="3">
        <v>4</v>
      </c>
      <c r="C75" t="s">
        <v>446</v>
      </c>
      <c r="D75" s="3">
        <v>0</v>
      </c>
      <c r="E75" t="s">
        <v>447</v>
      </c>
      <c r="F75" s="2">
        <v>0</v>
      </c>
      <c r="G75" t="s">
        <v>448</v>
      </c>
      <c r="H75" s="2">
        <v>0</v>
      </c>
      <c r="I75" t="s">
        <v>449</v>
      </c>
      <c r="J75" s="2">
        <v>4</v>
      </c>
      <c r="K75" t="s">
        <v>450</v>
      </c>
      <c r="M75" s="3">
        <f t="shared" si="2"/>
        <v>8</v>
      </c>
    </row>
    <row r="76" spans="1:13" x14ac:dyDescent="0.25">
      <c r="A76" t="s">
        <v>451</v>
      </c>
      <c r="B76" s="3">
        <v>5</v>
      </c>
      <c r="C76" t="s">
        <v>452</v>
      </c>
      <c r="D76" s="3">
        <v>3</v>
      </c>
      <c r="E76" t="s">
        <v>453</v>
      </c>
      <c r="F76" s="2">
        <v>5</v>
      </c>
      <c r="G76" t="s">
        <v>454</v>
      </c>
      <c r="H76" s="2">
        <v>2</v>
      </c>
      <c r="I76" t="s">
        <v>455</v>
      </c>
      <c r="J76" s="2">
        <v>5</v>
      </c>
      <c r="K76" t="s">
        <v>456</v>
      </c>
      <c r="M76" s="3">
        <f t="shared" si="2"/>
        <v>20</v>
      </c>
    </row>
    <row r="77" spans="1:13" x14ac:dyDescent="0.25">
      <c r="A77" t="s">
        <v>457</v>
      </c>
      <c r="B77" s="3">
        <v>5</v>
      </c>
      <c r="C77" t="s">
        <v>458</v>
      </c>
      <c r="D77" s="3">
        <v>1</v>
      </c>
      <c r="E77" t="s">
        <v>459</v>
      </c>
      <c r="F77" s="2">
        <v>5</v>
      </c>
      <c r="G77" t="s">
        <v>460</v>
      </c>
      <c r="H77" s="2">
        <v>2</v>
      </c>
      <c r="I77" t="s">
        <v>461</v>
      </c>
      <c r="J77" s="2">
        <v>5</v>
      </c>
      <c r="K77" t="s">
        <v>462</v>
      </c>
      <c r="M77" s="3">
        <f t="shared" si="2"/>
        <v>18</v>
      </c>
    </row>
    <row r="78" spans="1:13" x14ac:dyDescent="0.25">
      <c r="A78" t="s">
        <v>463</v>
      </c>
      <c r="B78" s="3">
        <v>5</v>
      </c>
      <c r="C78" t="s">
        <v>464</v>
      </c>
      <c r="D78" s="3">
        <v>3</v>
      </c>
      <c r="E78" t="s">
        <v>465</v>
      </c>
      <c r="F78" s="2">
        <v>5</v>
      </c>
      <c r="G78" t="s">
        <v>466</v>
      </c>
      <c r="H78" s="2">
        <v>4</v>
      </c>
      <c r="I78" t="s">
        <v>467</v>
      </c>
      <c r="J78" s="2">
        <v>4</v>
      </c>
      <c r="K78" t="s">
        <v>468</v>
      </c>
      <c r="M78" s="3">
        <f t="shared" si="2"/>
        <v>21</v>
      </c>
    </row>
    <row r="79" spans="1:13" x14ac:dyDescent="0.25">
      <c r="A79" t="s">
        <v>469</v>
      </c>
      <c r="B79" s="3">
        <v>2</v>
      </c>
      <c r="C79" t="s">
        <v>470</v>
      </c>
      <c r="D79" s="3">
        <v>0</v>
      </c>
      <c r="E79" t="s">
        <v>471</v>
      </c>
      <c r="F79" s="2">
        <v>1</v>
      </c>
      <c r="G79" t="s">
        <v>472</v>
      </c>
      <c r="H79" s="2">
        <v>4</v>
      </c>
      <c r="I79" t="s">
        <v>473</v>
      </c>
      <c r="J79" s="2">
        <v>2</v>
      </c>
      <c r="K79" t="s">
        <v>474</v>
      </c>
      <c r="M79" s="3">
        <f t="shared" si="2"/>
        <v>9</v>
      </c>
    </row>
    <row r="80" spans="1:13" x14ac:dyDescent="0.25">
      <c r="A80" t="s">
        <v>475</v>
      </c>
      <c r="B80" s="3">
        <v>3</v>
      </c>
      <c r="C80" t="s">
        <v>476</v>
      </c>
      <c r="D80" s="3">
        <v>1</v>
      </c>
      <c r="E80" t="s">
        <v>477</v>
      </c>
      <c r="F80" s="2">
        <v>2</v>
      </c>
      <c r="G80" t="s">
        <v>478</v>
      </c>
      <c r="H80" s="2">
        <v>4</v>
      </c>
      <c r="I80" t="s">
        <v>479</v>
      </c>
      <c r="J80" s="2">
        <v>3</v>
      </c>
      <c r="K80" t="s">
        <v>480</v>
      </c>
      <c r="M80" s="3">
        <f t="shared" si="2"/>
        <v>13</v>
      </c>
    </row>
    <row r="81" spans="1:13" x14ac:dyDescent="0.25">
      <c r="A81" t="s">
        <v>481</v>
      </c>
      <c r="B81" s="3">
        <v>5</v>
      </c>
      <c r="C81" t="s">
        <v>458</v>
      </c>
      <c r="D81" s="3">
        <v>1</v>
      </c>
      <c r="E81" t="s">
        <v>482</v>
      </c>
      <c r="F81" s="2">
        <v>4</v>
      </c>
      <c r="G81" t="s">
        <v>483</v>
      </c>
      <c r="H81" s="2">
        <v>2</v>
      </c>
      <c r="I81" t="s">
        <v>484</v>
      </c>
      <c r="J81" s="2">
        <v>5</v>
      </c>
      <c r="K81" t="s">
        <v>485</v>
      </c>
      <c r="M81" s="3">
        <f t="shared" si="2"/>
        <v>17</v>
      </c>
    </row>
    <row r="82" spans="1:13" x14ac:dyDescent="0.25">
      <c r="A82" t="s">
        <v>486</v>
      </c>
      <c r="B82" s="3">
        <v>4</v>
      </c>
      <c r="C82" t="s">
        <v>487</v>
      </c>
      <c r="D82" s="3">
        <v>5</v>
      </c>
      <c r="E82" t="s">
        <v>488</v>
      </c>
      <c r="F82" s="2">
        <v>3</v>
      </c>
      <c r="G82" t="s">
        <v>489</v>
      </c>
      <c r="H82" s="2">
        <v>0</v>
      </c>
      <c r="I82" t="s">
        <v>490</v>
      </c>
      <c r="J82" s="2">
        <v>2</v>
      </c>
      <c r="K82" t="s">
        <v>491</v>
      </c>
      <c r="M82" s="3">
        <f t="shared" si="2"/>
        <v>14</v>
      </c>
    </row>
    <row r="83" spans="1:13" x14ac:dyDescent="0.25">
      <c r="A83" t="s">
        <v>492</v>
      </c>
      <c r="B83" s="3">
        <v>3</v>
      </c>
      <c r="C83" t="s">
        <v>493</v>
      </c>
      <c r="D83" s="3">
        <v>0</v>
      </c>
      <c r="E83" t="s">
        <v>494</v>
      </c>
      <c r="F83" s="2">
        <v>1</v>
      </c>
      <c r="G83" t="s">
        <v>495</v>
      </c>
      <c r="H83" s="2">
        <v>5</v>
      </c>
      <c r="I83" t="s">
        <v>496</v>
      </c>
      <c r="J83" s="2">
        <v>3</v>
      </c>
      <c r="K83" t="s">
        <v>497</v>
      </c>
      <c r="M83" s="3">
        <f t="shared" si="2"/>
        <v>12</v>
      </c>
    </row>
    <row r="84" spans="1:13" x14ac:dyDescent="0.25">
      <c r="A84" t="s">
        <v>498</v>
      </c>
      <c r="B84" s="3">
        <v>5</v>
      </c>
      <c r="C84" t="s">
        <v>499</v>
      </c>
      <c r="D84" s="3">
        <v>1</v>
      </c>
      <c r="E84" t="s">
        <v>500</v>
      </c>
      <c r="F84" s="2">
        <v>5</v>
      </c>
      <c r="G84" t="s">
        <v>501</v>
      </c>
      <c r="H84" s="2">
        <v>2</v>
      </c>
      <c r="I84" t="s">
        <v>502</v>
      </c>
      <c r="J84" s="2">
        <v>4</v>
      </c>
      <c r="K84" t="s">
        <v>503</v>
      </c>
      <c r="M84" s="3">
        <f t="shared" si="2"/>
        <v>17</v>
      </c>
    </row>
    <row r="85" spans="1:13" x14ac:dyDescent="0.25">
      <c r="A85" t="s">
        <v>504</v>
      </c>
      <c r="B85" s="3">
        <v>3</v>
      </c>
      <c r="C85" t="s">
        <v>505</v>
      </c>
      <c r="D85" s="3">
        <v>0</v>
      </c>
      <c r="E85" t="s">
        <v>506</v>
      </c>
      <c r="F85" s="2">
        <v>1</v>
      </c>
      <c r="G85" t="s">
        <v>507</v>
      </c>
      <c r="H85" s="2">
        <v>3</v>
      </c>
      <c r="I85" t="s">
        <v>508</v>
      </c>
      <c r="J85" s="2">
        <v>3</v>
      </c>
      <c r="K85" t="s">
        <v>509</v>
      </c>
      <c r="M85" s="3">
        <f t="shared" si="2"/>
        <v>10</v>
      </c>
    </row>
    <row r="86" spans="1:13" x14ac:dyDescent="0.25">
      <c r="A86" t="s">
        <v>510</v>
      </c>
      <c r="B86" s="3">
        <v>5</v>
      </c>
      <c r="C86" t="s">
        <v>511</v>
      </c>
      <c r="D86" s="3">
        <v>2</v>
      </c>
      <c r="E86" t="s">
        <v>512</v>
      </c>
      <c r="F86" s="2">
        <v>3</v>
      </c>
      <c r="G86" t="s">
        <v>513</v>
      </c>
      <c r="H86" s="2">
        <v>4</v>
      </c>
      <c r="I86" t="s">
        <v>514</v>
      </c>
      <c r="J86" s="2">
        <v>4</v>
      </c>
      <c r="K86" t="s">
        <v>515</v>
      </c>
      <c r="M86" s="3">
        <f t="shared" si="2"/>
        <v>18</v>
      </c>
    </row>
    <row r="87" spans="1:13" x14ac:dyDescent="0.25">
      <c r="A87" t="s">
        <v>516</v>
      </c>
      <c r="B87" s="3">
        <v>5</v>
      </c>
      <c r="C87" t="s">
        <v>517</v>
      </c>
      <c r="D87" s="3">
        <v>1</v>
      </c>
      <c r="E87" t="s">
        <v>518</v>
      </c>
      <c r="F87" s="2">
        <v>4</v>
      </c>
      <c r="G87" t="s">
        <v>519</v>
      </c>
      <c r="H87" s="2">
        <v>0</v>
      </c>
      <c r="I87" t="s">
        <v>520</v>
      </c>
      <c r="J87" s="2">
        <v>5</v>
      </c>
      <c r="K87" t="s">
        <v>521</v>
      </c>
      <c r="M87" s="3">
        <f t="shared" si="2"/>
        <v>15</v>
      </c>
    </row>
    <row r="88" spans="1:13" x14ac:dyDescent="0.25">
      <c r="A88" t="s">
        <v>522</v>
      </c>
      <c r="B88" s="3">
        <v>5</v>
      </c>
      <c r="C88" t="s">
        <v>523</v>
      </c>
      <c r="D88" s="3">
        <v>1</v>
      </c>
      <c r="E88" t="s">
        <v>524</v>
      </c>
      <c r="F88" s="2">
        <v>5</v>
      </c>
      <c r="G88" t="s">
        <v>525</v>
      </c>
      <c r="H88" s="2">
        <v>0</v>
      </c>
      <c r="I88" t="s">
        <v>526</v>
      </c>
      <c r="J88" s="2">
        <v>5</v>
      </c>
      <c r="K88" t="s">
        <v>527</v>
      </c>
      <c r="M88" s="3">
        <f t="shared" si="2"/>
        <v>16</v>
      </c>
    </row>
    <row r="89" spans="1:13" x14ac:dyDescent="0.25">
      <c r="A89" t="s">
        <v>528</v>
      </c>
      <c r="B89" s="3">
        <v>5</v>
      </c>
      <c r="C89" t="s">
        <v>529</v>
      </c>
      <c r="D89" s="3">
        <v>1</v>
      </c>
      <c r="E89" t="s">
        <v>530</v>
      </c>
      <c r="F89" s="2">
        <v>5</v>
      </c>
      <c r="G89" t="s">
        <v>531</v>
      </c>
      <c r="H89" s="2">
        <v>2</v>
      </c>
      <c r="I89" t="s">
        <v>532</v>
      </c>
      <c r="J89" s="2">
        <v>4</v>
      </c>
      <c r="K89" t="s">
        <v>533</v>
      </c>
      <c r="M89" s="3">
        <f t="shared" si="2"/>
        <v>17</v>
      </c>
    </row>
    <row r="90" spans="1:13" x14ac:dyDescent="0.25">
      <c r="A90" t="s">
        <v>534</v>
      </c>
      <c r="B90" s="3">
        <v>2</v>
      </c>
      <c r="C90" t="s">
        <v>535</v>
      </c>
      <c r="D90" s="3">
        <v>0</v>
      </c>
      <c r="E90" t="s">
        <v>536</v>
      </c>
      <c r="F90" s="2">
        <v>1</v>
      </c>
      <c r="G90" t="s">
        <v>537</v>
      </c>
      <c r="H90" s="2">
        <v>4</v>
      </c>
      <c r="I90" t="s">
        <v>538</v>
      </c>
      <c r="J90" s="2">
        <v>1</v>
      </c>
      <c r="K90" t="s">
        <v>539</v>
      </c>
      <c r="M90" s="3">
        <f t="shared" si="2"/>
        <v>8</v>
      </c>
    </row>
    <row r="91" spans="1:13" x14ac:dyDescent="0.25">
      <c r="A91" t="s">
        <v>540</v>
      </c>
      <c r="B91" s="3">
        <v>5</v>
      </c>
      <c r="C91" t="s">
        <v>321</v>
      </c>
      <c r="D91" s="3">
        <v>0</v>
      </c>
      <c r="E91" t="s">
        <v>407</v>
      </c>
      <c r="F91" s="2">
        <v>0</v>
      </c>
      <c r="G91" t="s">
        <v>541</v>
      </c>
      <c r="H91" s="2">
        <v>0</v>
      </c>
      <c r="I91" t="s">
        <v>393</v>
      </c>
      <c r="J91" s="2">
        <v>5</v>
      </c>
      <c r="K91" t="s">
        <v>324</v>
      </c>
      <c r="M91" s="3">
        <f t="shared" si="2"/>
        <v>10</v>
      </c>
    </row>
    <row r="92" spans="1:13" x14ac:dyDescent="0.25">
      <c r="A92" t="s">
        <v>542</v>
      </c>
      <c r="B92" s="3">
        <v>4</v>
      </c>
      <c r="C92" t="s">
        <v>543</v>
      </c>
      <c r="D92" s="3">
        <v>1</v>
      </c>
      <c r="E92" t="s">
        <v>544</v>
      </c>
      <c r="F92" s="2">
        <v>3</v>
      </c>
      <c r="G92" t="s">
        <v>545</v>
      </c>
      <c r="H92" s="2">
        <v>3</v>
      </c>
      <c r="I92" t="s">
        <v>546</v>
      </c>
      <c r="J92" s="2">
        <v>4</v>
      </c>
      <c r="K92" t="s">
        <v>547</v>
      </c>
      <c r="M92" s="3">
        <f t="shared" si="2"/>
        <v>15</v>
      </c>
    </row>
    <row r="93" spans="1:13" x14ac:dyDescent="0.25">
      <c r="A93" t="s">
        <v>548</v>
      </c>
      <c r="B93" s="3">
        <v>4</v>
      </c>
      <c r="C93" t="s">
        <v>549</v>
      </c>
      <c r="D93" s="3">
        <v>0</v>
      </c>
      <c r="E93" t="s">
        <v>550</v>
      </c>
      <c r="F93" s="2">
        <v>0</v>
      </c>
      <c r="G93" t="s">
        <v>551</v>
      </c>
      <c r="H93" s="2">
        <v>3</v>
      </c>
      <c r="I93" t="s">
        <v>552</v>
      </c>
      <c r="J93" s="2">
        <v>5</v>
      </c>
      <c r="K93" t="s">
        <v>553</v>
      </c>
      <c r="M93" s="3">
        <f t="shared" si="2"/>
        <v>12</v>
      </c>
    </row>
    <row r="94" spans="1:13" x14ac:dyDescent="0.25">
      <c r="A94" t="s">
        <v>554</v>
      </c>
      <c r="B94" s="3">
        <v>5</v>
      </c>
      <c r="C94" t="s">
        <v>555</v>
      </c>
      <c r="D94" s="3">
        <v>3</v>
      </c>
      <c r="E94" t="s">
        <v>556</v>
      </c>
      <c r="F94" s="2">
        <v>4</v>
      </c>
      <c r="G94" t="s">
        <v>557</v>
      </c>
      <c r="H94" s="2">
        <v>2</v>
      </c>
      <c r="I94" t="s">
        <v>558</v>
      </c>
      <c r="J94" s="2">
        <v>5</v>
      </c>
      <c r="K94" t="s">
        <v>559</v>
      </c>
      <c r="M94" s="3">
        <f t="shared" si="2"/>
        <v>19</v>
      </c>
    </row>
    <row r="95" spans="1:13" x14ac:dyDescent="0.25">
      <c r="A95" t="s">
        <v>560</v>
      </c>
      <c r="B95" s="3">
        <v>3</v>
      </c>
      <c r="C95" t="s">
        <v>561</v>
      </c>
      <c r="D95" s="3">
        <v>0</v>
      </c>
      <c r="E95" t="s">
        <v>562</v>
      </c>
      <c r="F95" s="2">
        <v>0</v>
      </c>
      <c r="G95" t="s">
        <v>563</v>
      </c>
      <c r="H95" s="2">
        <v>0</v>
      </c>
      <c r="I95" t="s">
        <v>236</v>
      </c>
      <c r="J95" s="2">
        <v>3</v>
      </c>
      <c r="K95" t="s">
        <v>564</v>
      </c>
      <c r="M95" s="3">
        <f t="shared" si="2"/>
        <v>6</v>
      </c>
    </row>
    <row r="96" spans="1:13" x14ac:dyDescent="0.25">
      <c r="A96" t="s">
        <v>565</v>
      </c>
      <c r="B96" s="3">
        <v>4</v>
      </c>
      <c r="C96" t="s">
        <v>566</v>
      </c>
      <c r="D96" s="3">
        <v>1</v>
      </c>
      <c r="E96" t="s">
        <v>567</v>
      </c>
      <c r="F96" s="2">
        <v>3</v>
      </c>
      <c r="G96" t="s">
        <v>568</v>
      </c>
      <c r="H96" s="2">
        <v>3</v>
      </c>
      <c r="I96" t="s">
        <v>569</v>
      </c>
      <c r="J96" s="2">
        <v>4</v>
      </c>
      <c r="K96" t="s">
        <v>570</v>
      </c>
      <c r="M96" s="3">
        <f t="shared" si="2"/>
        <v>15</v>
      </c>
    </row>
    <row r="97" spans="1:13" x14ac:dyDescent="0.25">
      <c r="A97" t="s">
        <v>571</v>
      </c>
      <c r="B97" s="3">
        <v>5</v>
      </c>
      <c r="C97" t="s">
        <v>572</v>
      </c>
      <c r="D97" s="3">
        <v>3</v>
      </c>
      <c r="E97" t="s">
        <v>573</v>
      </c>
      <c r="F97" s="2">
        <v>5</v>
      </c>
      <c r="G97" t="s">
        <v>574</v>
      </c>
      <c r="H97" s="2">
        <v>2</v>
      </c>
      <c r="I97" t="s">
        <v>575</v>
      </c>
      <c r="J97" s="2">
        <v>4</v>
      </c>
      <c r="K97" t="s">
        <v>576</v>
      </c>
      <c r="M97" s="3">
        <f t="shared" si="2"/>
        <v>19</v>
      </c>
    </row>
    <row r="98" spans="1:13" x14ac:dyDescent="0.25">
      <c r="A98" t="s">
        <v>577</v>
      </c>
      <c r="B98" s="3">
        <v>5</v>
      </c>
      <c r="C98" t="s">
        <v>344</v>
      </c>
      <c r="D98" s="3">
        <v>0</v>
      </c>
      <c r="E98" t="s">
        <v>578</v>
      </c>
      <c r="F98" s="2">
        <v>0</v>
      </c>
      <c r="G98" t="s">
        <v>579</v>
      </c>
      <c r="H98" s="2">
        <v>0</v>
      </c>
      <c r="I98" t="s">
        <v>236</v>
      </c>
      <c r="J98" s="2">
        <v>5</v>
      </c>
      <c r="K98" t="s">
        <v>348</v>
      </c>
      <c r="M98" s="3">
        <f t="shared" ref="M98:M129" si="3">SUM(B98,D98,F98,H98,J98)</f>
        <v>10</v>
      </c>
    </row>
    <row r="99" spans="1:13" x14ac:dyDescent="0.25">
      <c r="A99" t="s">
        <v>580</v>
      </c>
      <c r="B99" s="3">
        <v>5</v>
      </c>
      <c r="C99" t="s">
        <v>581</v>
      </c>
      <c r="D99" s="3">
        <v>0</v>
      </c>
      <c r="E99" t="s">
        <v>397</v>
      </c>
      <c r="F99" s="2">
        <v>0</v>
      </c>
      <c r="G99" t="s">
        <v>582</v>
      </c>
      <c r="H99" s="2">
        <v>0</v>
      </c>
      <c r="I99" t="s">
        <v>236</v>
      </c>
      <c r="J99" s="2">
        <v>5</v>
      </c>
      <c r="K99" t="s">
        <v>324</v>
      </c>
      <c r="M99" s="3">
        <f t="shared" si="3"/>
        <v>10</v>
      </c>
    </row>
    <row r="100" spans="1:13" x14ac:dyDescent="0.25">
      <c r="A100" t="s">
        <v>583</v>
      </c>
      <c r="B100" s="3">
        <v>4</v>
      </c>
      <c r="C100" t="s">
        <v>584</v>
      </c>
      <c r="D100" s="3">
        <v>3</v>
      </c>
      <c r="E100" t="s">
        <v>585</v>
      </c>
      <c r="F100" s="2">
        <v>4</v>
      </c>
      <c r="G100" t="s">
        <v>586</v>
      </c>
      <c r="H100" s="2">
        <v>5</v>
      </c>
      <c r="I100" t="s">
        <v>587</v>
      </c>
      <c r="J100" s="2">
        <v>5</v>
      </c>
      <c r="K100" t="s">
        <v>588</v>
      </c>
      <c r="M100" s="3">
        <f t="shared" si="3"/>
        <v>21</v>
      </c>
    </row>
    <row r="101" spans="1:13" x14ac:dyDescent="0.25">
      <c r="A101" t="s">
        <v>589</v>
      </c>
      <c r="B101" s="3">
        <v>5</v>
      </c>
      <c r="C101" t="s">
        <v>321</v>
      </c>
      <c r="D101" s="3">
        <v>0</v>
      </c>
      <c r="E101" t="s">
        <v>407</v>
      </c>
      <c r="F101" s="2">
        <v>0</v>
      </c>
      <c r="G101" t="s">
        <v>590</v>
      </c>
      <c r="H101" s="2">
        <v>0</v>
      </c>
      <c r="I101" t="s">
        <v>236</v>
      </c>
      <c r="J101" s="2">
        <v>5</v>
      </c>
      <c r="K101" t="s">
        <v>324</v>
      </c>
      <c r="M101" s="3">
        <f t="shared" si="3"/>
        <v>10</v>
      </c>
    </row>
    <row r="102" spans="1:13" x14ac:dyDescent="0.25">
      <c r="A102" t="s">
        <v>591</v>
      </c>
      <c r="B102" s="3">
        <v>5</v>
      </c>
      <c r="C102" t="s">
        <v>321</v>
      </c>
      <c r="D102" s="3">
        <v>0</v>
      </c>
      <c r="E102" t="s">
        <v>407</v>
      </c>
      <c r="F102" s="2">
        <v>0</v>
      </c>
      <c r="G102" t="s">
        <v>592</v>
      </c>
      <c r="H102" s="2">
        <v>0</v>
      </c>
      <c r="I102" t="s">
        <v>593</v>
      </c>
      <c r="J102" s="2">
        <v>5</v>
      </c>
      <c r="K102" t="s">
        <v>324</v>
      </c>
      <c r="M102" s="3">
        <f t="shared" si="3"/>
        <v>10</v>
      </c>
    </row>
    <row r="103" spans="1:13" x14ac:dyDescent="0.25">
      <c r="A103" t="s">
        <v>594</v>
      </c>
      <c r="B103" s="3">
        <v>5</v>
      </c>
      <c r="C103" t="s">
        <v>595</v>
      </c>
      <c r="D103" s="3">
        <v>1</v>
      </c>
      <c r="E103" t="s">
        <v>596</v>
      </c>
      <c r="F103" s="2">
        <v>3</v>
      </c>
      <c r="G103" t="s">
        <v>597</v>
      </c>
      <c r="H103" s="2">
        <v>2</v>
      </c>
      <c r="I103" t="s">
        <v>598</v>
      </c>
      <c r="J103" s="2">
        <v>5</v>
      </c>
      <c r="K103" t="s">
        <v>599</v>
      </c>
      <c r="M103" s="3">
        <f t="shared" si="3"/>
        <v>16</v>
      </c>
    </row>
    <row r="104" spans="1:13" x14ac:dyDescent="0.25">
      <c r="A104" t="s">
        <v>600</v>
      </c>
      <c r="B104" s="3">
        <v>5</v>
      </c>
      <c r="C104" t="s">
        <v>601</v>
      </c>
      <c r="D104" s="3">
        <v>3</v>
      </c>
      <c r="E104" t="s">
        <v>602</v>
      </c>
      <c r="F104" s="2">
        <v>5</v>
      </c>
      <c r="G104" t="s">
        <v>603</v>
      </c>
      <c r="H104" s="2">
        <v>2</v>
      </c>
      <c r="I104" t="s">
        <v>604</v>
      </c>
      <c r="J104" s="2">
        <v>5</v>
      </c>
      <c r="K104" t="s">
        <v>605</v>
      </c>
      <c r="M104" s="3">
        <f t="shared" si="3"/>
        <v>20</v>
      </c>
    </row>
    <row r="105" spans="1:13" x14ac:dyDescent="0.25">
      <c r="A105" t="s">
        <v>606</v>
      </c>
      <c r="B105" s="3">
        <v>5</v>
      </c>
      <c r="C105" t="s">
        <v>607</v>
      </c>
      <c r="D105" s="3">
        <v>4</v>
      </c>
      <c r="E105" t="s">
        <v>608</v>
      </c>
      <c r="F105" s="2">
        <v>5</v>
      </c>
      <c r="G105" t="s">
        <v>609</v>
      </c>
      <c r="H105" s="2">
        <v>5</v>
      </c>
      <c r="I105" t="s">
        <v>610</v>
      </c>
      <c r="J105" s="2">
        <v>4</v>
      </c>
      <c r="K105" t="s">
        <v>611</v>
      </c>
      <c r="M105" s="3">
        <f t="shared" si="3"/>
        <v>23</v>
      </c>
    </row>
    <row r="106" spans="1:13" x14ac:dyDescent="0.25">
      <c r="A106" t="s">
        <v>612</v>
      </c>
      <c r="B106" s="3">
        <v>5</v>
      </c>
      <c r="C106" t="s">
        <v>613</v>
      </c>
      <c r="D106" s="3">
        <v>4</v>
      </c>
      <c r="E106" t="s">
        <v>614</v>
      </c>
      <c r="F106" s="2">
        <v>5</v>
      </c>
      <c r="G106" t="s">
        <v>615</v>
      </c>
      <c r="H106" s="2">
        <v>4</v>
      </c>
      <c r="I106" t="s">
        <v>616</v>
      </c>
      <c r="J106" s="2">
        <v>3</v>
      </c>
      <c r="K106" t="s">
        <v>617</v>
      </c>
      <c r="M106" s="3">
        <f t="shared" si="3"/>
        <v>21</v>
      </c>
    </row>
    <row r="107" spans="1:13" x14ac:dyDescent="0.25">
      <c r="A107" t="s">
        <v>618</v>
      </c>
      <c r="B107" s="3">
        <v>3</v>
      </c>
      <c r="C107" t="s">
        <v>619</v>
      </c>
      <c r="D107" s="3">
        <v>0</v>
      </c>
      <c r="E107" t="s">
        <v>620</v>
      </c>
      <c r="F107" s="2">
        <v>0</v>
      </c>
      <c r="G107" t="s">
        <v>621</v>
      </c>
      <c r="H107" s="2">
        <v>2</v>
      </c>
      <c r="I107" t="s">
        <v>622</v>
      </c>
      <c r="J107" s="2">
        <v>2</v>
      </c>
      <c r="K107" t="s">
        <v>623</v>
      </c>
      <c r="M107" s="3">
        <f t="shared" si="3"/>
        <v>7</v>
      </c>
    </row>
    <row r="108" spans="1:13" x14ac:dyDescent="0.25">
      <c r="A108" t="s">
        <v>624</v>
      </c>
      <c r="B108" s="3">
        <v>5</v>
      </c>
      <c r="C108" t="s">
        <v>625</v>
      </c>
      <c r="D108" s="3">
        <v>0</v>
      </c>
      <c r="E108" t="s">
        <v>626</v>
      </c>
      <c r="F108" s="2">
        <v>0</v>
      </c>
      <c r="G108" t="s">
        <v>627</v>
      </c>
      <c r="H108" s="2">
        <v>0</v>
      </c>
      <c r="I108" t="s">
        <v>628</v>
      </c>
      <c r="J108" s="2">
        <v>5</v>
      </c>
      <c r="K108" t="s">
        <v>629</v>
      </c>
      <c r="M108" s="3">
        <f t="shared" si="3"/>
        <v>10</v>
      </c>
    </row>
    <row r="109" spans="1:13" x14ac:dyDescent="0.25">
      <c r="A109" t="s">
        <v>630</v>
      </c>
      <c r="B109" s="3">
        <v>5</v>
      </c>
      <c r="C109" t="s">
        <v>631</v>
      </c>
      <c r="D109" s="3">
        <v>0</v>
      </c>
      <c r="E109" t="s">
        <v>407</v>
      </c>
      <c r="F109" s="2">
        <v>0</v>
      </c>
      <c r="G109" t="s">
        <v>632</v>
      </c>
      <c r="H109" s="2">
        <v>0</v>
      </c>
      <c r="I109" t="s">
        <v>633</v>
      </c>
      <c r="J109" s="2">
        <v>5</v>
      </c>
      <c r="K109" t="s">
        <v>324</v>
      </c>
      <c r="M109" s="3">
        <f t="shared" si="3"/>
        <v>10</v>
      </c>
    </row>
    <row r="110" spans="1:13" x14ac:dyDescent="0.25">
      <c r="A110" t="s">
        <v>634</v>
      </c>
      <c r="B110" s="3">
        <v>4</v>
      </c>
      <c r="C110" t="s">
        <v>635</v>
      </c>
      <c r="D110" s="3">
        <v>2</v>
      </c>
      <c r="E110" t="s">
        <v>636</v>
      </c>
      <c r="F110" s="2">
        <v>4</v>
      </c>
      <c r="G110" t="s">
        <v>637</v>
      </c>
      <c r="H110" s="2">
        <v>2</v>
      </c>
      <c r="I110" t="s">
        <v>638</v>
      </c>
      <c r="J110" s="2">
        <v>3</v>
      </c>
      <c r="K110" t="s">
        <v>639</v>
      </c>
      <c r="M110" s="3">
        <f t="shared" si="3"/>
        <v>15</v>
      </c>
    </row>
    <row r="111" spans="1:13" x14ac:dyDescent="0.25">
      <c r="A111" t="s">
        <v>640</v>
      </c>
      <c r="B111" s="3">
        <v>5</v>
      </c>
      <c r="C111" t="s">
        <v>641</v>
      </c>
      <c r="D111" s="3">
        <v>2</v>
      </c>
      <c r="E111" t="s">
        <v>642</v>
      </c>
      <c r="F111" s="2">
        <v>5</v>
      </c>
      <c r="G111" t="s">
        <v>643</v>
      </c>
      <c r="H111" s="2">
        <v>2</v>
      </c>
      <c r="I111" t="s">
        <v>644</v>
      </c>
      <c r="J111" s="2">
        <v>4</v>
      </c>
      <c r="K111" t="s">
        <v>645</v>
      </c>
      <c r="M111" s="3">
        <f t="shared" si="3"/>
        <v>18</v>
      </c>
    </row>
    <row r="112" spans="1:13" x14ac:dyDescent="0.25">
      <c r="A112" t="s">
        <v>646</v>
      </c>
      <c r="B112" s="3">
        <v>5</v>
      </c>
      <c r="C112" t="s">
        <v>344</v>
      </c>
      <c r="D112" s="3">
        <v>0</v>
      </c>
      <c r="E112" t="s">
        <v>647</v>
      </c>
      <c r="F112" s="2">
        <v>0</v>
      </c>
      <c r="G112" t="s">
        <v>648</v>
      </c>
      <c r="H112" s="2">
        <v>0</v>
      </c>
      <c r="I112" t="s">
        <v>649</v>
      </c>
      <c r="J112" s="2">
        <v>5</v>
      </c>
      <c r="K112" t="s">
        <v>348</v>
      </c>
      <c r="M112" s="3">
        <f t="shared" si="3"/>
        <v>10</v>
      </c>
    </row>
    <row r="113" spans="1:13" x14ac:dyDescent="0.25">
      <c r="A113" t="s">
        <v>650</v>
      </c>
      <c r="B113" s="3">
        <v>5</v>
      </c>
      <c r="C113" t="s">
        <v>651</v>
      </c>
      <c r="D113" s="3">
        <v>3</v>
      </c>
      <c r="E113" t="s">
        <v>652</v>
      </c>
      <c r="F113" s="2">
        <v>5</v>
      </c>
      <c r="G113" t="s">
        <v>653</v>
      </c>
      <c r="H113" s="2">
        <v>2</v>
      </c>
      <c r="I113" t="s">
        <v>654</v>
      </c>
      <c r="J113" s="2">
        <v>5</v>
      </c>
      <c r="K113" t="s">
        <v>655</v>
      </c>
      <c r="M113" s="3">
        <f t="shared" si="3"/>
        <v>20</v>
      </c>
    </row>
    <row r="114" spans="1:13" x14ac:dyDescent="0.25">
      <c r="A114" t="s">
        <v>656</v>
      </c>
      <c r="B114" s="3">
        <v>5</v>
      </c>
      <c r="C114" t="s">
        <v>657</v>
      </c>
      <c r="D114" s="3">
        <v>4</v>
      </c>
      <c r="E114" t="s">
        <v>658</v>
      </c>
      <c r="F114" s="2">
        <v>4</v>
      </c>
      <c r="G114" t="s">
        <v>659</v>
      </c>
      <c r="H114" s="2">
        <v>3</v>
      </c>
      <c r="I114" t="s">
        <v>660</v>
      </c>
      <c r="J114" s="2">
        <v>2</v>
      </c>
      <c r="K114" t="s">
        <v>661</v>
      </c>
      <c r="M114" s="3">
        <f t="shared" si="3"/>
        <v>18</v>
      </c>
    </row>
    <row r="115" spans="1:13" x14ac:dyDescent="0.25">
      <c r="A115" t="s">
        <v>662</v>
      </c>
      <c r="B115" s="3">
        <v>4</v>
      </c>
      <c r="C115" t="s">
        <v>663</v>
      </c>
      <c r="D115" s="3">
        <v>3</v>
      </c>
      <c r="E115" t="s">
        <v>664</v>
      </c>
      <c r="F115" s="2">
        <v>3</v>
      </c>
      <c r="G115" t="s">
        <v>665</v>
      </c>
      <c r="H115" s="2">
        <v>4</v>
      </c>
      <c r="I115" t="s">
        <v>666</v>
      </c>
      <c r="J115" s="2">
        <v>3</v>
      </c>
      <c r="K115" t="s">
        <v>667</v>
      </c>
      <c r="M115" s="3">
        <f t="shared" si="3"/>
        <v>17</v>
      </c>
    </row>
    <row r="116" spans="1:13" x14ac:dyDescent="0.25">
      <c r="A116" t="s">
        <v>668</v>
      </c>
      <c r="B116" s="3">
        <v>4</v>
      </c>
      <c r="C116" t="s">
        <v>669</v>
      </c>
      <c r="D116" s="3">
        <v>3</v>
      </c>
      <c r="E116" t="s">
        <v>670</v>
      </c>
      <c r="F116" s="2">
        <v>3</v>
      </c>
      <c r="G116" t="s">
        <v>671</v>
      </c>
      <c r="H116" s="2">
        <v>4</v>
      </c>
      <c r="I116" t="s">
        <v>672</v>
      </c>
      <c r="J116" s="2">
        <v>2</v>
      </c>
      <c r="K116" t="s">
        <v>673</v>
      </c>
      <c r="M116" s="3">
        <f t="shared" si="3"/>
        <v>16</v>
      </c>
    </row>
    <row r="117" spans="1:13" x14ac:dyDescent="0.25">
      <c r="A117" t="s">
        <v>674</v>
      </c>
      <c r="B117" s="3">
        <v>2</v>
      </c>
      <c r="C117" t="s">
        <v>675</v>
      </c>
      <c r="D117" s="3">
        <v>0</v>
      </c>
      <c r="E117" t="s">
        <v>676</v>
      </c>
      <c r="F117" s="2">
        <v>1</v>
      </c>
      <c r="G117" t="s">
        <v>677</v>
      </c>
      <c r="H117" s="2">
        <v>3</v>
      </c>
      <c r="I117" t="s">
        <v>678</v>
      </c>
      <c r="J117" s="2">
        <v>2</v>
      </c>
      <c r="K117" t="s">
        <v>679</v>
      </c>
      <c r="M117" s="3">
        <f t="shared" si="3"/>
        <v>8</v>
      </c>
    </row>
    <row r="118" spans="1:13" x14ac:dyDescent="0.25">
      <c r="A118" t="s">
        <v>680</v>
      </c>
      <c r="B118" s="3">
        <v>5</v>
      </c>
      <c r="C118" t="s">
        <v>681</v>
      </c>
      <c r="D118" s="3">
        <v>3</v>
      </c>
      <c r="E118" t="s">
        <v>682</v>
      </c>
      <c r="F118" s="2">
        <v>5</v>
      </c>
      <c r="G118" t="s">
        <v>683</v>
      </c>
      <c r="H118" s="2">
        <v>5</v>
      </c>
      <c r="I118" t="s">
        <v>684</v>
      </c>
      <c r="J118" s="2">
        <v>5</v>
      </c>
      <c r="K118" t="s">
        <v>685</v>
      </c>
      <c r="M118" s="3">
        <f t="shared" si="3"/>
        <v>23</v>
      </c>
    </row>
    <row r="119" spans="1:13" x14ac:dyDescent="0.25">
      <c r="A119" t="s">
        <v>686</v>
      </c>
      <c r="B119" s="3">
        <v>5</v>
      </c>
      <c r="C119" t="s">
        <v>687</v>
      </c>
      <c r="D119" s="3">
        <v>4</v>
      </c>
      <c r="E119" t="s">
        <v>688</v>
      </c>
      <c r="F119" s="2">
        <v>4</v>
      </c>
      <c r="G119" t="s">
        <v>689</v>
      </c>
      <c r="H119" s="2">
        <v>5</v>
      </c>
      <c r="I119" t="s">
        <v>690</v>
      </c>
      <c r="J119" s="2">
        <v>4</v>
      </c>
      <c r="K119" t="s">
        <v>691</v>
      </c>
      <c r="M119" s="3">
        <f t="shared" si="3"/>
        <v>22</v>
      </c>
    </row>
    <row r="120" spans="1:13" x14ac:dyDescent="0.25">
      <c r="A120" t="s">
        <v>692</v>
      </c>
      <c r="B120" s="3">
        <v>3</v>
      </c>
      <c r="C120" t="s">
        <v>693</v>
      </c>
      <c r="D120" s="3">
        <v>0</v>
      </c>
      <c r="E120" t="s">
        <v>694</v>
      </c>
      <c r="F120" s="2">
        <v>1</v>
      </c>
      <c r="G120" t="s">
        <v>695</v>
      </c>
      <c r="H120" s="2">
        <v>4</v>
      </c>
      <c r="I120" t="s">
        <v>696</v>
      </c>
      <c r="J120" s="2">
        <v>3</v>
      </c>
      <c r="K120" t="s">
        <v>697</v>
      </c>
      <c r="M120" s="3">
        <f t="shared" si="3"/>
        <v>11</v>
      </c>
    </row>
    <row r="121" spans="1:13" x14ac:dyDescent="0.25">
      <c r="A121" t="s">
        <v>698</v>
      </c>
      <c r="B121" s="3">
        <v>4</v>
      </c>
      <c r="C121" t="s">
        <v>699</v>
      </c>
      <c r="D121" s="3">
        <v>5</v>
      </c>
      <c r="E121" t="s">
        <v>700</v>
      </c>
      <c r="F121" s="2">
        <v>4</v>
      </c>
      <c r="G121" t="s">
        <v>701</v>
      </c>
      <c r="H121" s="2">
        <v>5</v>
      </c>
      <c r="I121" t="s">
        <v>702</v>
      </c>
      <c r="J121" s="2">
        <v>2</v>
      </c>
      <c r="K121" t="s">
        <v>703</v>
      </c>
      <c r="M121" s="3">
        <f t="shared" si="3"/>
        <v>20</v>
      </c>
    </row>
    <row r="122" spans="1:13" x14ac:dyDescent="0.25">
      <c r="A122" t="s">
        <v>704</v>
      </c>
      <c r="B122" s="3">
        <v>4</v>
      </c>
      <c r="C122" t="s">
        <v>705</v>
      </c>
      <c r="D122" s="3">
        <v>3</v>
      </c>
      <c r="E122" t="s">
        <v>706</v>
      </c>
      <c r="F122" s="2">
        <v>3</v>
      </c>
      <c r="G122" t="s">
        <v>707</v>
      </c>
      <c r="H122" s="2">
        <v>4</v>
      </c>
      <c r="I122" t="s">
        <v>708</v>
      </c>
      <c r="J122" s="2">
        <v>5</v>
      </c>
      <c r="K122" t="s">
        <v>709</v>
      </c>
      <c r="M122" s="3">
        <f t="shared" si="3"/>
        <v>19</v>
      </c>
    </row>
    <row r="123" spans="1:13" x14ac:dyDescent="0.25">
      <c r="A123" t="s">
        <v>710</v>
      </c>
      <c r="B123" s="3">
        <v>4</v>
      </c>
      <c r="C123" t="s">
        <v>711</v>
      </c>
      <c r="D123" s="3">
        <v>5</v>
      </c>
      <c r="E123" t="s">
        <v>712</v>
      </c>
      <c r="F123" s="2">
        <v>4</v>
      </c>
      <c r="G123" t="s">
        <v>713</v>
      </c>
      <c r="H123" s="2">
        <v>5</v>
      </c>
      <c r="I123" t="s">
        <v>714</v>
      </c>
      <c r="J123" s="2">
        <v>2</v>
      </c>
      <c r="K123" t="s">
        <v>715</v>
      </c>
      <c r="M123" s="3">
        <f t="shared" si="3"/>
        <v>20</v>
      </c>
    </row>
    <row r="124" spans="1:13" x14ac:dyDescent="0.25">
      <c r="A124" t="s">
        <v>716</v>
      </c>
      <c r="B124" s="3">
        <v>5</v>
      </c>
      <c r="C124" t="s">
        <v>717</v>
      </c>
      <c r="D124" s="3">
        <v>1</v>
      </c>
      <c r="E124" t="s">
        <v>718</v>
      </c>
      <c r="F124" s="2">
        <v>4</v>
      </c>
      <c r="G124" t="s">
        <v>719</v>
      </c>
      <c r="H124" s="2">
        <v>3</v>
      </c>
      <c r="I124" t="s">
        <v>720</v>
      </c>
      <c r="J124" s="2">
        <v>4</v>
      </c>
      <c r="K124" t="s">
        <v>721</v>
      </c>
      <c r="M124" s="3">
        <f t="shared" si="3"/>
        <v>17</v>
      </c>
    </row>
    <row r="125" spans="1:13" x14ac:dyDescent="0.25">
      <c r="A125" t="s">
        <v>722</v>
      </c>
      <c r="B125" s="3">
        <v>3</v>
      </c>
      <c r="C125" t="s">
        <v>723</v>
      </c>
      <c r="D125" s="3">
        <v>1</v>
      </c>
      <c r="E125" t="s">
        <v>724</v>
      </c>
      <c r="F125" s="2">
        <v>2</v>
      </c>
      <c r="G125" t="s">
        <v>725</v>
      </c>
      <c r="H125" s="2">
        <v>4</v>
      </c>
      <c r="I125" t="s">
        <v>726</v>
      </c>
      <c r="J125" s="2">
        <v>2</v>
      </c>
      <c r="K125" t="s">
        <v>727</v>
      </c>
      <c r="M125" s="3">
        <f t="shared" si="3"/>
        <v>12</v>
      </c>
    </row>
    <row r="126" spans="1:13" x14ac:dyDescent="0.25">
      <c r="A126" t="s">
        <v>728</v>
      </c>
      <c r="B126" s="3">
        <v>4</v>
      </c>
      <c r="C126" t="s">
        <v>729</v>
      </c>
      <c r="D126" s="3">
        <v>2</v>
      </c>
      <c r="E126" t="s">
        <v>730</v>
      </c>
      <c r="F126" s="2">
        <v>4</v>
      </c>
      <c r="G126" t="s">
        <v>731</v>
      </c>
      <c r="H126" s="2">
        <v>4</v>
      </c>
      <c r="I126" t="s">
        <v>732</v>
      </c>
      <c r="J126" s="2">
        <v>3</v>
      </c>
      <c r="K126" t="s">
        <v>733</v>
      </c>
      <c r="M126" s="3">
        <f t="shared" si="3"/>
        <v>17</v>
      </c>
    </row>
    <row r="127" spans="1:13" x14ac:dyDescent="0.25">
      <c r="A127" t="s">
        <v>734</v>
      </c>
      <c r="B127" s="3">
        <v>4</v>
      </c>
      <c r="C127" t="s">
        <v>735</v>
      </c>
      <c r="D127" s="3">
        <v>1</v>
      </c>
      <c r="E127" t="s">
        <v>736</v>
      </c>
      <c r="F127" s="2">
        <v>1</v>
      </c>
      <c r="G127" t="s">
        <v>737</v>
      </c>
      <c r="H127" s="2">
        <v>5</v>
      </c>
      <c r="I127" t="s">
        <v>738</v>
      </c>
      <c r="J127" s="2">
        <v>4</v>
      </c>
      <c r="K127" t="s">
        <v>739</v>
      </c>
      <c r="M127" s="3">
        <f t="shared" si="3"/>
        <v>15</v>
      </c>
    </row>
    <row r="128" spans="1:13" x14ac:dyDescent="0.25">
      <c r="A128" t="s">
        <v>740</v>
      </c>
      <c r="B128" s="3">
        <v>3</v>
      </c>
      <c r="C128" t="s">
        <v>741</v>
      </c>
      <c r="D128" s="3">
        <v>1</v>
      </c>
      <c r="E128" t="s">
        <v>742</v>
      </c>
      <c r="F128" s="2">
        <v>1</v>
      </c>
      <c r="G128" t="s">
        <v>743</v>
      </c>
      <c r="H128" s="2">
        <v>4</v>
      </c>
      <c r="I128" t="s">
        <v>744</v>
      </c>
      <c r="J128" s="2">
        <v>2</v>
      </c>
      <c r="K128" t="s">
        <v>745</v>
      </c>
      <c r="M128" s="3">
        <f t="shared" si="3"/>
        <v>11</v>
      </c>
    </row>
    <row r="129" spans="1:13" x14ac:dyDescent="0.25">
      <c r="A129" t="s">
        <v>746</v>
      </c>
      <c r="B129" s="3">
        <v>5</v>
      </c>
      <c r="C129" t="s">
        <v>747</v>
      </c>
      <c r="D129" s="3">
        <v>2</v>
      </c>
      <c r="E129" t="s">
        <v>748</v>
      </c>
      <c r="F129" s="2">
        <v>4</v>
      </c>
      <c r="G129" t="s">
        <v>749</v>
      </c>
      <c r="H129" s="2">
        <v>2</v>
      </c>
      <c r="I129" t="s">
        <v>750</v>
      </c>
      <c r="J129" s="2">
        <v>5</v>
      </c>
      <c r="K129" t="s">
        <v>751</v>
      </c>
      <c r="M129" s="3">
        <f t="shared" si="3"/>
        <v>18</v>
      </c>
    </row>
    <row r="130" spans="1:13" x14ac:dyDescent="0.25">
      <c r="A130" t="s">
        <v>752</v>
      </c>
      <c r="B130" s="3">
        <v>5</v>
      </c>
      <c r="C130" t="s">
        <v>753</v>
      </c>
      <c r="D130" s="3">
        <v>3</v>
      </c>
      <c r="E130" t="s">
        <v>754</v>
      </c>
      <c r="F130" s="2">
        <v>5</v>
      </c>
      <c r="G130" t="s">
        <v>755</v>
      </c>
      <c r="H130" s="2">
        <v>4</v>
      </c>
      <c r="I130" t="s">
        <v>756</v>
      </c>
      <c r="J130" s="2">
        <v>2</v>
      </c>
      <c r="K130" t="s">
        <v>757</v>
      </c>
      <c r="M130" s="3">
        <f t="shared" ref="M130:M161" si="4">SUM(B130,D130,F130,H130,J130)</f>
        <v>19</v>
      </c>
    </row>
    <row r="131" spans="1:13" x14ac:dyDescent="0.25">
      <c r="A131" t="s">
        <v>758</v>
      </c>
      <c r="B131" s="3">
        <v>5</v>
      </c>
      <c r="C131" t="s">
        <v>759</v>
      </c>
      <c r="D131" s="3">
        <v>2</v>
      </c>
      <c r="E131" t="s">
        <v>760</v>
      </c>
      <c r="F131" s="2">
        <v>4</v>
      </c>
      <c r="G131" t="s">
        <v>761</v>
      </c>
      <c r="H131" s="2">
        <v>2</v>
      </c>
      <c r="I131" t="s">
        <v>762</v>
      </c>
      <c r="J131" s="2">
        <v>5</v>
      </c>
      <c r="K131" t="s">
        <v>763</v>
      </c>
      <c r="M131" s="3">
        <f t="shared" si="4"/>
        <v>18</v>
      </c>
    </row>
    <row r="132" spans="1:13" x14ac:dyDescent="0.25">
      <c r="A132" t="s">
        <v>764</v>
      </c>
      <c r="B132" s="3">
        <v>5</v>
      </c>
      <c r="C132" t="s">
        <v>765</v>
      </c>
      <c r="D132" s="3">
        <v>4</v>
      </c>
      <c r="E132" t="s">
        <v>766</v>
      </c>
      <c r="F132" s="2">
        <v>5</v>
      </c>
      <c r="G132" t="s">
        <v>767</v>
      </c>
      <c r="H132" s="2">
        <v>5</v>
      </c>
      <c r="I132" t="s">
        <v>768</v>
      </c>
      <c r="J132" s="2">
        <v>3</v>
      </c>
      <c r="K132" t="s">
        <v>769</v>
      </c>
      <c r="M132" s="3">
        <f t="shared" si="4"/>
        <v>22</v>
      </c>
    </row>
    <row r="133" spans="1:13" x14ac:dyDescent="0.25">
      <c r="A133" t="s">
        <v>770</v>
      </c>
      <c r="B133" s="3">
        <v>5</v>
      </c>
      <c r="C133" t="s">
        <v>771</v>
      </c>
      <c r="D133" s="3">
        <v>5</v>
      </c>
      <c r="E133" t="s">
        <v>772</v>
      </c>
      <c r="F133" s="2">
        <v>5</v>
      </c>
      <c r="G133" t="s">
        <v>773</v>
      </c>
      <c r="H133" s="2">
        <v>5</v>
      </c>
      <c r="I133" t="s">
        <v>774</v>
      </c>
      <c r="J133" s="2">
        <v>2</v>
      </c>
      <c r="K133" t="s">
        <v>775</v>
      </c>
      <c r="M133" s="3">
        <f t="shared" si="4"/>
        <v>22</v>
      </c>
    </row>
    <row r="134" spans="1:13" x14ac:dyDescent="0.25">
      <c r="A134" t="s">
        <v>776</v>
      </c>
      <c r="B134" s="3">
        <v>5</v>
      </c>
      <c r="C134" t="s">
        <v>321</v>
      </c>
      <c r="D134" s="3">
        <v>0</v>
      </c>
      <c r="E134" t="s">
        <v>407</v>
      </c>
      <c r="F134" s="2">
        <v>0</v>
      </c>
      <c r="G134" t="s">
        <v>777</v>
      </c>
      <c r="H134" s="2">
        <v>0</v>
      </c>
      <c r="I134" t="s">
        <v>236</v>
      </c>
      <c r="J134" s="2">
        <v>5</v>
      </c>
      <c r="K134" t="s">
        <v>295</v>
      </c>
      <c r="M134" s="3">
        <f t="shared" si="4"/>
        <v>10</v>
      </c>
    </row>
    <row r="135" spans="1:13" x14ac:dyDescent="0.25">
      <c r="A135" t="s">
        <v>778</v>
      </c>
      <c r="B135" s="3">
        <v>5</v>
      </c>
      <c r="C135" t="s">
        <v>321</v>
      </c>
      <c r="D135" s="3">
        <v>0</v>
      </c>
      <c r="E135" t="s">
        <v>407</v>
      </c>
      <c r="F135" s="2">
        <v>0</v>
      </c>
      <c r="G135" t="s">
        <v>779</v>
      </c>
      <c r="H135" s="2">
        <v>0</v>
      </c>
      <c r="I135" t="s">
        <v>236</v>
      </c>
      <c r="J135" s="2">
        <v>5</v>
      </c>
      <c r="K135" t="s">
        <v>324</v>
      </c>
      <c r="M135" s="3">
        <f t="shared" si="4"/>
        <v>10</v>
      </c>
    </row>
    <row r="136" spans="1:13" x14ac:dyDescent="0.25">
      <c r="A136" t="s">
        <v>780</v>
      </c>
      <c r="B136" s="3">
        <v>5</v>
      </c>
      <c r="C136" t="s">
        <v>781</v>
      </c>
      <c r="D136" s="3">
        <v>3</v>
      </c>
      <c r="E136" t="s">
        <v>782</v>
      </c>
      <c r="F136" s="2">
        <v>5</v>
      </c>
      <c r="G136" t="s">
        <v>783</v>
      </c>
      <c r="H136" s="2">
        <v>4</v>
      </c>
      <c r="I136" t="s">
        <v>784</v>
      </c>
      <c r="J136" s="2">
        <v>3</v>
      </c>
      <c r="K136" t="s">
        <v>785</v>
      </c>
      <c r="M136" s="3">
        <f t="shared" si="4"/>
        <v>20</v>
      </c>
    </row>
    <row r="137" spans="1:13" x14ac:dyDescent="0.25">
      <c r="A137" t="s">
        <v>786</v>
      </c>
      <c r="B137" s="3">
        <v>5</v>
      </c>
      <c r="C137" t="s">
        <v>787</v>
      </c>
      <c r="D137" s="3">
        <v>4</v>
      </c>
      <c r="E137" t="s">
        <v>788</v>
      </c>
      <c r="F137" s="2">
        <v>4</v>
      </c>
      <c r="G137" t="s">
        <v>789</v>
      </c>
      <c r="H137" s="2">
        <v>4</v>
      </c>
      <c r="I137" t="s">
        <v>790</v>
      </c>
      <c r="J137" s="2">
        <v>2</v>
      </c>
      <c r="K137" t="s">
        <v>791</v>
      </c>
      <c r="M137" s="3">
        <f t="shared" si="4"/>
        <v>19</v>
      </c>
    </row>
    <row r="138" spans="1:13" x14ac:dyDescent="0.25">
      <c r="A138" t="s">
        <v>792</v>
      </c>
      <c r="B138" s="3">
        <v>5</v>
      </c>
      <c r="C138" t="s">
        <v>793</v>
      </c>
      <c r="D138" s="3">
        <v>0</v>
      </c>
      <c r="E138" t="s">
        <v>794</v>
      </c>
      <c r="F138" s="2">
        <v>0</v>
      </c>
      <c r="G138" t="s">
        <v>795</v>
      </c>
      <c r="H138" s="2">
        <v>0</v>
      </c>
      <c r="I138" t="s">
        <v>796</v>
      </c>
      <c r="J138" s="2">
        <v>5</v>
      </c>
      <c r="K138" t="s">
        <v>797</v>
      </c>
      <c r="M138" s="3">
        <f t="shared" si="4"/>
        <v>10</v>
      </c>
    </row>
    <row r="139" spans="1:13" x14ac:dyDescent="0.25">
      <c r="A139" t="s">
        <v>798</v>
      </c>
      <c r="B139" s="3">
        <v>5</v>
      </c>
      <c r="C139" t="s">
        <v>799</v>
      </c>
      <c r="D139" s="3">
        <v>5</v>
      </c>
      <c r="E139" t="s">
        <v>800</v>
      </c>
      <c r="F139" s="2">
        <v>5</v>
      </c>
      <c r="G139" t="s">
        <v>801</v>
      </c>
      <c r="H139" s="2">
        <v>5</v>
      </c>
      <c r="I139" t="s">
        <v>802</v>
      </c>
      <c r="J139" s="2">
        <v>2</v>
      </c>
      <c r="K139" t="s">
        <v>803</v>
      </c>
      <c r="M139" s="3">
        <f t="shared" si="4"/>
        <v>22</v>
      </c>
    </row>
    <row r="140" spans="1:13" x14ac:dyDescent="0.25">
      <c r="A140" t="s">
        <v>804</v>
      </c>
      <c r="B140" s="3">
        <v>5</v>
      </c>
      <c r="C140" t="s">
        <v>805</v>
      </c>
      <c r="D140" s="3">
        <v>4</v>
      </c>
      <c r="E140" t="s">
        <v>806</v>
      </c>
      <c r="F140" s="2">
        <v>4</v>
      </c>
      <c r="G140" t="s">
        <v>807</v>
      </c>
      <c r="H140" s="2">
        <v>5</v>
      </c>
      <c r="I140" t="s">
        <v>808</v>
      </c>
      <c r="J140" s="2">
        <v>4</v>
      </c>
      <c r="K140" t="s">
        <v>809</v>
      </c>
      <c r="M140" s="3">
        <f t="shared" si="4"/>
        <v>22</v>
      </c>
    </row>
    <row r="141" spans="1:13" x14ac:dyDescent="0.25">
      <c r="A141" t="s">
        <v>810</v>
      </c>
      <c r="B141" s="3">
        <v>4</v>
      </c>
      <c r="C141" t="s">
        <v>811</v>
      </c>
      <c r="D141" s="3">
        <v>4</v>
      </c>
      <c r="E141" t="s">
        <v>812</v>
      </c>
      <c r="F141" s="2">
        <v>4</v>
      </c>
      <c r="G141" t="s">
        <v>813</v>
      </c>
      <c r="H141" s="2">
        <v>5</v>
      </c>
      <c r="I141" t="s">
        <v>814</v>
      </c>
      <c r="J141" s="2">
        <v>4</v>
      </c>
      <c r="K141" t="s">
        <v>815</v>
      </c>
      <c r="M141" s="3">
        <f t="shared" si="4"/>
        <v>21</v>
      </c>
    </row>
    <row r="142" spans="1:13" x14ac:dyDescent="0.25">
      <c r="A142" t="s">
        <v>816</v>
      </c>
      <c r="B142" s="3">
        <v>4</v>
      </c>
      <c r="C142" t="s">
        <v>817</v>
      </c>
      <c r="D142" s="3">
        <v>5</v>
      </c>
      <c r="E142" t="s">
        <v>818</v>
      </c>
      <c r="F142" s="2">
        <v>4</v>
      </c>
      <c r="G142" t="s">
        <v>819</v>
      </c>
      <c r="H142" s="2">
        <v>5</v>
      </c>
      <c r="I142" t="s">
        <v>820</v>
      </c>
      <c r="J142" s="2">
        <v>2</v>
      </c>
      <c r="K142" t="s">
        <v>821</v>
      </c>
      <c r="M142" s="3">
        <f t="shared" si="4"/>
        <v>20</v>
      </c>
    </row>
    <row r="143" spans="1:13" x14ac:dyDescent="0.25">
      <c r="A143" t="s">
        <v>822</v>
      </c>
      <c r="B143" s="3">
        <v>5</v>
      </c>
      <c r="C143" t="s">
        <v>344</v>
      </c>
      <c r="D143" s="3">
        <v>0</v>
      </c>
      <c r="E143" t="s">
        <v>407</v>
      </c>
      <c r="F143" s="2">
        <v>0</v>
      </c>
      <c r="G143" t="s">
        <v>823</v>
      </c>
      <c r="H143" s="2">
        <v>0</v>
      </c>
      <c r="I143" t="s">
        <v>236</v>
      </c>
      <c r="J143" s="2">
        <v>5</v>
      </c>
      <c r="K143" t="s">
        <v>237</v>
      </c>
      <c r="M143" s="3">
        <f t="shared" si="4"/>
        <v>10</v>
      </c>
    </row>
    <row r="144" spans="1:13" x14ac:dyDescent="0.25">
      <c r="A144" t="s">
        <v>824</v>
      </c>
      <c r="B144" s="3">
        <v>4</v>
      </c>
      <c r="C144" t="s">
        <v>825</v>
      </c>
      <c r="D144" s="3">
        <v>4</v>
      </c>
      <c r="E144" t="s">
        <v>826</v>
      </c>
      <c r="F144" s="2">
        <v>3</v>
      </c>
      <c r="G144" t="s">
        <v>827</v>
      </c>
      <c r="H144" s="2">
        <v>1</v>
      </c>
      <c r="I144" t="s">
        <v>828</v>
      </c>
      <c r="J144" s="2">
        <v>3</v>
      </c>
      <c r="K144" t="s">
        <v>829</v>
      </c>
      <c r="M144" s="3">
        <f t="shared" si="4"/>
        <v>15</v>
      </c>
    </row>
    <row r="145" spans="1:13" x14ac:dyDescent="0.25">
      <c r="A145" t="s">
        <v>830</v>
      </c>
      <c r="B145" s="3">
        <v>3</v>
      </c>
      <c r="C145" t="s">
        <v>831</v>
      </c>
      <c r="D145" s="3">
        <v>1</v>
      </c>
      <c r="E145" t="s">
        <v>832</v>
      </c>
      <c r="F145" s="2">
        <v>2</v>
      </c>
      <c r="G145" t="s">
        <v>833</v>
      </c>
      <c r="H145" s="2">
        <v>4</v>
      </c>
      <c r="I145" t="s">
        <v>834</v>
      </c>
      <c r="J145" s="2">
        <v>2</v>
      </c>
      <c r="K145" t="s">
        <v>835</v>
      </c>
      <c r="M145" s="3">
        <f t="shared" si="4"/>
        <v>12</v>
      </c>
    </row>
    <row r="146" spans="1:13" x14ac:dyDescent="0.25">
      <c r="A146" t="s">
        <v>836</v>
      </c>
      <c r="B146" s="3">
        <v>4</v>
      </c>
      <c r="C146" t="s">
        <v>837</v>
      </c>
      <c r="D146" s="3">
        <v>1</v>
      </c>
      <c r="E146" t="s">
        <v>838</v>
      </c>
      <c r="F146" s="2">
        <v>1</v>
      </c>
      <c r="G146" t="s">
        <v>839</v>
      </c>
      <c r="H146" s="2">
        <v>5</v>
      </c>
      <c r="I146" t="s">
        <v>840</v>
      </c>
      <c r="J146" s="2">
        <v>4</v>
      </c>
      <c r="K146" t="s">
        <v>841</v>
      </c>
      <c r="M146" s="3">
        <f t="shared" si="4"/>
        <v>15</v>
      </c>
    </row>
    <row r="147" spans="1:13" x14ac:dyDescent="0.25">
      <c r="A147" t="s">
        <v>842</v>
      </c>
      <c r="B147" s="3">
        <v>4</v>
      </c>
      <c r="C147" t="s">
        <v>843</v>
      </c>
      <c r="D147" s="3">
        <v>2</v>
      </c>
      <c r="E147" t="s">
        <v>844</v>
      </c>
      <c r="F147" s="2">
        <v>4</v>
      </c>
      <c r="G147" t="s">
        <v>845</v>
      </c>
      <c r="H147" s="2">
        <v>5</v>
      </c>
      <c r="I147" t="s">
        <v>846</v>
      </c>
      <c r="J147" s="2">
        <v>3</v>
      </c>
      <c r="K147" t="s">
        <v>847</v>
      </c>
      <c r="M147" s="3">
        <f t="shared" si="4"/>
        <v>18</v>
      </c>
    </row>
    <row r="148" spans="1:13" x14ac:dyDescent="0.25">
      <c r="A148" t="s">
        <v>848</v>
      </c>
      <c r="B148" s="3">
        <v>5</v>
      </c>
      <c r="C148" t="s">
        <v>849</v>
      </c>
      <c r="D148" s="3">
        <v>4</v>
      </c>
      <c r="E148" t="s">
        <v>850</v>
      </c>
      <c r="F148" s="2">
        <v>4</v>
      </c>
      <c r="G148" t="s">
        <v>851</v>
      </c>
      <c r="H148" s="2">
        <v>5</v>
      </c>
      <c r="I148" t="s">
        <v>852</v>
      </c>
      <c r="J148" s="2">
        <v>3</v>
      </c>
      <c r="K148" t="s">
        <v>853</v>
      </c>
      <c r="M148" s="3">
        <f t="shared" si="4"/>
        <v>21</v>
      </c>
    </row>
    <row r="149" spans="1:13" x14ac:dyDescent="0.25">
      <c r="A149" t="s">
        <v>854</v>
      </c>
      <c r="B149" s="3">
        <v>3</v>
      </c>
      <c r="C149" t="s">
        <v>855</v>
      </c>
      <c r="D149" s="3">
        <v>0</v>
      </c>
      <c r="E149" t="s">
        <v>856</v>
      </c>
      <c r="F149" s="2">
        <v>1</v>
      </c>
      <c r="G149" t="s">
        <v>857</v>
      </c>
      <c r="H149" s="2">
        <v>4</v>
      </c>
      <c r="I149" t="s">
        <v>858</v>
      </c>
      <c r="J149" s="2">
        <v>2</v>
      </c>
      <c r="K149" t="s">
        <v>859</v>
      </c>
      <c r="M149" s="3">
        <f t="shared" si="4"/>
        <v>10</v>
      </c>
    </row>
    <row r="150" spans="1:13" x14ac:dyDescent="0.25">
      <c r="A150" t="s">
        <v>860</v>
      </c>
      <c r="B150" s="3">
        <v>5</v>
      </c>
      <c r="C150" t="s">
        <v>344</v>
      </c>
      <c r="D150" s="3">
        <v>0</v>
      </c>
      <c r="E150" t="s">
        <v>407</v>
      </c>
      <c r="F150" s="2">
        <v>0</v>
      </c>
      <c r="G150" t="s">
        <v>861</v>
      </c>
      <c r="H150" s="2">
        <v>0</v>
      </c>
      <c r="I150" t="s">
        <v>236</v>
      </c>
      <c r="J150" s="2">
        <v>5</v>
      </c>
      <c r="K150" t="s">
        <v>237</v>
      </c>
      <c r="M150" s="3">
        <f t="shared" si="4"/>
        <v>10</v>
      </c>
    </row>
    <row r="151" spans="1:13" x14ac:dyDescent="0.25">
      <c r="A151" t="s">
        <v>862</v>
      </c>
      <c r="B151" s="3">
        <v>5</v>
      </c>
      <c r="C151" t="s">
        <v>344</v>
      </c>
      <c r="D151" s="3">
        <v>0</v>
      </c>
      <c r="E151" t="s">
        <v>863</v>
      </c>
      <c r="F151" s="2">
        <v>0</v>
      </c>
      <c r="G151" t="s">
        <v>864</v>
      </c>
      <c r="H151" s="2">
        <v>0</v>
      </c>
      <c r="I151" t="s">
        <v>236</v>
      </c>
      <c r="J151" s="2">
        <v>5</v>
      </c>
      <c r="K151" t="s">
        <v>237</v>
      </c>
      <c r="M151" s="3">
        <f t="shared" si="4"/>
        <v>10</v>
      </c>
    </row>
    <row r="152" spans="1:13" x14ac:dyDescent="0.25">
      <c r="A152" t="s">
        <v>865</v>
      </c>
      <c r="B152" s="3">
        <v>5</v>
      </c>
      <c r="C152" t="s">
        <v>344</v>
      </c>
      <c r="D152" s="3">
        <v>0</v>
      </c>
      <c r="E152" t="s">
        <v>866</v>
      </c>
      <c r="F152" s="2">
        <v>0</v>
      </c>
      <c r="G152" t="s">
        <v>867</v>
      </c>
      <c r="H152" s="2">
        <v>0</v>
      </c>
      <c r="I152" t="s">
        <v>236</v>
      </c>
      <c r="J152" s="2">
        <v>5</v>
      </c>
      <c r="K152" t="s">
        <v>237</v>
      </c>
      <c r="M152" s="3">
        <f t="shared" si="4"/>
        <v>10</v>
      </c>
    </row>
    <row r="153" spans="1:13" x14ac:dyDescent="0.25">
      <c r="A153" t="s">
        <v>868</v>
      </c>
      <c r="B153" s="3">
        <v>5</v>
      </c>
      <c r="C153" t="s">
        <v>869</v>
      </c>
      <c r="D153" s="3">
        <v>0</v>
      </c>
      <c r="E153" t="s">
        <v>870</v>
      </c>
      <c r="F153" s="2">
        <v>0</v>
      </c>
      <c r="G153" t="s">
        <v>871</v>
      </c>
      <c r="H153" s="2">
        <v>0</v>
      </c>
      <c r="I153" t="s">
        <v>872</v>
      </c>
      <c r="J153" s="2">
        <v>5</v>
      </c>
      <c r="K153" t="s">
        <v>348</v>
      </c>
      <c r="M153" s="3">
        <f t="shared" si="4"/>
        <v>10</v>
      </c>
    </row>
    <row r="154" spans="1:13" x14ac:dyDescent="0.25">
      <c r="A154" t="s">
        <v>873</v>
      </c>
      <c r="B154" s="3">
        <v>5</v>
      </c>
      <c r="C154" t="s">
        <v>344</v>
      </c>
      <c r="D154" s="3">
        <v>0</v>
      </c>
      <c r="E154" t="s">
        <v>407</v>
      </c>
      <c r="F154" s="2">
        <v>0</v>
      </c>
      <c r="G154" t="s">
        <v>874</v>
      </c>
      <c r="H154" s="2">
        <v>0</v>
      </c>
      <c r="I154" t="s">
        <v>236</v>
      </c>
      <c r="J154" s="2">
        <v>5</v>
      </c>
      <c r="K154" t="s">
        <v>237</v>
      </c>
      <c r="M154" s="3">
        <f t="shared" si="4"/>
        <v>10</v>
      </c>
    </row>
    <row r="155" spans="1:13" x14ac:dyDescent="0.25">
      <c r="A155" t="s">
        <v>875</v>
      </c>
      <c r="B155" s="3">
        <v>5</v>
      </c>
      <c r="C155" t="s">
        <v>876</v>
      </c>
      <c r="D155" s="3">
        <v>0</v>
      </c>
      <c r="E155" t="s">
        <v>407</v>
      </c>
      <c r="F155" s="2">
        <v>0</v>
      </c>
      <c r="G155" t="s">
        <v>877</v>
      </c>
      <c r="H155" s="2">
        <v>0</v>
      </c>
      <c r="I155" t="s">
        <v>236</v>
      </c>
      <c r="J155" s="2">
        <v>5</v>
      </c>
      <c r="K155" t="s">
        <v>237</v>
      </c>
      <c r="M155" s="3">
        <f t="shared" si="4"/>
        <v>10</v>
      </c>
    </row>
    <row r="156" spans="1:13" x14ac:dyDescent="0.25">
      <c r="A156" t="s">
        <v>878</v>
      </c>
      <c r="B156" s="3">
        <v>5</v>
      </c>
      <c r="C156" t="s">
        <v>879</v>
      </c>
      <c r="D156" s="3">
        <v>0</v>
      </c>
      <c r="E156" t="s">
        <v>407</v>
      </c>
      <c r="F156" s="2">
        <v>0</v>
      </c>
      <c r="G156" t="s">
        <v>880</v>
      </c>
      <c r="H156" s="2">
        <v>0</v>
      </c>
      <c r="I156" t="s">
        <v>236</v>
      </c>
      <c r="J156" s="2">
        <v>5</v>
      </c>
      <c r="K156" t="s">
        <v>237</v>
      </c>
      <c r="M156" s="3">
        <f t="shared" si="4"/>
        <v>10</v>
      </c>
    </row>
    <row r="157" spans="1:13" x14ac:dyDescent="0.25">
      <c r="A157" t="s">
        <v>881</v>
      </c>
      <c r="B157" s="3">
        <v>5</v>
      </c>
      <c r="C157" t="s">
        <v>882</v>
      </c>
      <c r="D157" s="3">
        <v>0</v>
      </c>
      <c r="E157" t="s">
        <v>407</v>
      </c>
      <c r="F157" s="2">
        <v>0</v>
      </c>
      <c r="G157" t="s">
        <v>883</v>
      </c>
      <c r="H157" s="2">
        <v>0</v>
      </c>
      <c r="I157" t="s">
        <v>236</v>
      </c>
      <c r="J157" s="2">
        <v>5</v>
      </c>
      <c r="K157" t="s">
        <v>884</v>
      </c>
      <c r="M157" s="3">
        <f t="shared" si="4"/>
        <v>10</v>
      </c>
    </row>
    <row r="158" spans="1:13" x14ac:dyDescent="0.25">
      <c r="A158" t="s">
        <v>885</v>
      </c>
      <c r="B158" s="3">
        <v>5</v>
      </c>
      <c r="C158" t="s">
        <v>886</v>
      </c>
      <c r="D158" s="3">
        <v>1</v>
      </c>
      <c r="E158" t="s">
        <v>887</v>
      </c>
      <c r="F158" s="2">
        <v>3</v>
      </c>
      <c r="G158" t="s">
        <v>888</v>
      </c>
      <c r="H158" s="2">
        <v>4</v>
      </c>
      <c r="I158" t="s">
        <v>889</v>
      </c>
      <c r="J158" s="2">
        <v>4</v>
      </c>
      <c r="K158" t="s">
        <v>890</v>
      </c>
      <c r="M158" s="3">
        <f t="shared" si="4"/>
        <v>17</v>
      </c>
    </row>
    <row r="159" spans="1:13" x14ac:dyDescent="0.25">
      <c r="A159" t="s">
        <v>891</v>
      </c>
      <c r="B159" s="3">
        <v>4</v>
      </c>
      <c r="C159" t="s">
        <v>892</v>
      </c>
      <c r="D159" s="3">
        <v>3</v>
      </c>
      <c r="E159" t="s">
        <v>893</v>
      </c>
      <c r="F159" s="2">
        <v>4</v>
      </c>
      <c r="G159" t="s">
        <v>894</v>
      </c>
      <c r="H159" s="2">
        <v>4</v>
      </c>
      <c r="I159" t="s">
        <v>895</v>
      </c>
      <c r="J159" s="2">
        <v>3</v>
      </c>
      <c r="K159" t="s">
        <v>896</v>
      </c>
      <c r="M159" s="3">
        <f t="shared" si="4"/>
        <v>18</v>
      </c>
    </row>
    <row r="160" spans="1:13" x14ac:dyDescent="0.25">
      <c r="A160" t="s">
        <v>897</v>
      </c>
      <c r="B160" s="3">
        <v>5</v>
      </c>
      <c r="C160" t="s">
        <v>898</v>
      </c>
      <c r="D160" s="3">
        <v>1</v>
      </c>
      <c r="E160" t="s">
        <v>899</v>
      </c>
      <c r="F160" s="2">
        <v>4</v>
      </c>
      <c r="G160" t="s">
        <v>900</v>
      </c>
      <c r="H160" s="2">
        <v>2</v>
      </c>
      <c r="I160" t="s">
        <v>901</v>
      </c>
      <c r="J160" s="2">
        <v>5</v>
      </c>
      <c r="K160" t="s">
        <v>902</v>
      </c>
      <c r="M160" s="3">
        <f t="shared" si="4"/>
        <v>17</v>
      </c>
    </row>
    <row r="161" spans="1:13" x14ac:dyDescent="0.25">
      <c r="A161" t="s">
        <v>903</v>
      </c>
      <c r="B161" s="3">
        <v>4</v>
      </c>
      <c r="C161" t="s">
        <v>904</v>
      </c>
      <c r="D161" s="3">
        <v>2</v>
      </c>
      <c r="E161" t="s">
        <v>905</v>
      </c>
      <c r="F161" s="2">
        <v>4</v>
      </c>
      <c r="G161" t="s">
        <v>906</v>
      </c>
      <c r="H161" s="2">
        <v>4</v>
      </c>
      <c r="I161" t="s">
        <v>907</v>
      </c>
      <c r="J161" s="2">
        <v>3</v>
      </c>
      <c r="K161" t="s">
        <v>908</v>
      </c>
      <c r="M161" s="3">
        <f t="shared" si="4"/>
        <v>17</v>
      </c>
    </row>
    <row r="162" spans="1:13" x14ac:dyDescent="0.25">
      <c r="A162" t="s">
        <v>909</v>
      </c>
      <c r="B162" s="3">
        <v>4</v>
      </c>
      <c r="C162" t="s">
        <v>910</v>
      </c>
      <c r="D162" s="3">
        <v>1</v>
      </c>
      <c r="E162" t="s">
        <v>911</v>
      </c>
      <c r="F162" s="2">
        <v>3</v>
      </c>
      <c r="G162" t="s">
        <v>912</v>
      </c>
      <c r="H162" s="2">
        <v>3</v>
      </c>
      <c r="I162" t="s">
        <v>913</v>
      </c>
      <c r="J162" s="2">
        <v>4</v>
      </c>
      <c r="K162" t="s">
        <v>914</v>
      </c>
      <c r="M162" s="3">
        <f t="shared" ref="M162:M194" si="5">SUM(B162,D162,F162,H162,J162)</f>
        <v>15</v>
      </c>
    </row>
    <row r="163" spans="1:13" x14ac:dyDescent="0.25">
      <c r="A163" t="s">
        <v>915</v>
      </c>
      <c r="B163" s="3">
        <v>5</v>
      </c>
      <c r="C163" t="s">
        <v>916</v>
      </c>
      <c r="D163" s="3">
        <v>1</v>
      </c>
      <c r="E163" t="s">
        <v>917</v>
      </c>
      <c r="F163" s="2">
        <v>3</v>
      </c>
      <c r="G163" t="s">
        <v>918</v>
      </c>
      <c r="H163" s="2">
        <v>3</v>
      </c>
      <c r="I163" t="s">
        <v>919</v>
      </c>
      <c r="J163" s="2">
        <v>4</v>
      </c>
      <c r="K163" t="s">
        <v>920</v>
      </c>
      <c r="M163" s="3">
        <f t="shared" si="5"/>
        <v>16</v>
      </c>
    </row>
    <row r="164" spans="1:13" x14ac:dyDescent="0.25">
      <c r="A164" t="s">
        <v>921</v>
      </c>
      <c r="B164" s="3">
        <v>5</v>
      </c>
      <c r="C164" t="s">
        <v>922</v>
      </c>
      <c r="D164" s="3">
        <v>4</v>
      </c>
      <c r="E164" t="s">
        <v>923</v>
      </c>
      <c r="F164" s="2">
        <v>3</v>
      </c>
      <c r="G164" t="s">
        <v>924</v>
      </c>
      <c r="H164" s="2">
        <v>3</v>
      </c>
      <c r="I164" t="s">
        <v>925</v>
      </c>
      <c r="J164" s="2">
        <v>2</v>
      </c>
      <c r="K164" t="s">
        <v>926</v>
      </c>
      <c r="M164" s="3">
        <f t="shared" si="5"/>
        <v>17</v>
      </c>
    </row>
    <row r="165" spans="1:13" x14ac:dyDescent="0.25">
      <c r="A165" t="s">
        <v>927</v>
      </c>
      <c r="B165" s="3">
        <v>5</v>
      </c>
      <c r="C165" t="s">
        <v>928</v>
      </c>
      <c r="D165" s="3">
        <v>3</v>
      </c>
      <c r="E165" t="s">
        <v>929</v>
      </c>
      <c r="F165" s="2">
        <v>4</v>
      </c>
      <c r="G165" t="s">
        <v>930</v>
      </c>
      <c r="H165" s="2">
        <v>2</v>
      </c>
      <c r="I165" t="s">
        <v>931</v>
      </c>
      <c r="J165" s="2">
        <v>5</v>
      </c>
      <c r="K165" t="s">
        <v>932</v>
      </c>
      <c r="M165" s="3">
        <f t="shared" si="5"/>
        <v>19</v>
      </c>
    </row>
    <row r="166" spans="1:13" x14ac:dyDescent="0.25">
      <c r="A166" t="s">
        <v>933</v>
      </c>
      <c r="B166" s="3">
        <v>5</v>
      </c>
      <c r="C166" t="s">
        <v>934</v>
      </c>
      <c r="D166" s="3">
        <v>5</v>
      </c>
      <c r="E166" t="s">
        <v>935</v>
      </c>
      <c r="F166" s="2">
        <v>5</v>
      </c>
      <c r="G166" t="s">
        <v>936</v>
      </c>
      <c r="H166" s="2">
        <v>5</v>
      </c>
      <c r="I166" t="s">
        <v>937</v>
      </c>
      <c r="J166" s="2">
        <v>2</v>
      </c>
      <c r="K166" t="s">
        <v>938</v>
      </c>
      <c r="M166" s="3">
        <f t="shared" si="5"/>
        <v>22</v>
      </c>
    </row>
    <row r="167" spans="1:13" x14ac:dyDescent="0.25">
      <c r="A167" t="s">
        <v>939</v>
      </c>
      <c r="B167" s="3">
        <v>5</v>
      </c>
      <c r="C167" t="s">
        <v>940</v>
      </c>
      <c r="D167" s="3">
        <v>1</v>
      </c>
      <c r="E167" t="s">
        <v>941</v>
      </c>
      <c r="F167" s="2">
        <v>5</v>
      </c>
      <c r="G167" t="s">
        <v>942</v>
      </c>
      <c r="H167" s="2">
        <v>2</v>
      </c>
      <c r="I167" t="s">
        <v>943</v>
      </c>
      <c r="J167" s="2">
        <v>5</v>
      </c>
      <c r="K167" t="s">
        <v>944</v>
      </c>
      <c r="M167" s="3">
        <f t="shared" si="5"/>
        <v>18</v>
      </c>
    </row>
    <row r="168" spans="1:13" x14ac:dyDescent="0.25">
      <c r="A168" t="s">
        <v>945</v>
      </c>
      <c r="B168" s="3">
        <v>4</v>
      </c>
      <c r="C168" t="s">
        <v>946</v>
      </c>
      <c r="D168" s="3">
        <v>1</v>
      </c>
      <c r="E168" t="s">
        <v>947</v>
      </c>
      <c r="F168" s="2">
        <v>4</v>
      </c>
      <c r="G168" t="s">
        <v>948</v>
      </c>
      <c r="H168" s="2">
        <v>3</v>
      </c>
      <c r="I168" t="s">
        <v>949</v>
      </c>
      <c r="J168" s="2">
        <v>3</v>
      </c>
      <c r="K168" t="s">
        <v>950</v>
      </c>
      <c r="M168" s="3">
        <f t="shared" si="5"/>
        <v>15</v>
      </c>
    </row>
    <row r="169" spans="1:13" x14ac:dyDescent="0.25">
      <c r="A169" t="s">
        <v>951</v>
      </c>
      <c r="B169" s="3">
        <v>4</v>
      </c>
      <c r="C169" t="s">
        <v>952</v>
      </c>
      <c r="D169" s="3">
        <v>1</v>
      </c>
      <c r="E169" t="s">
        <v>953</v>
      </c>
      <c r="F169" s="2">
        <v>4</v>
      </c>
      <c r="G169" t="s">
        <v>954</v>
      </c>
      <c r="H169" s="2">
        <v>4</v>
      </c>
      <c r="I169" t="s">
        <v>955</v>
      </c>
      <c r="J169" s="2">
        <v>3</v>
      </c>
      <c r="K169" t="s">
        <v>956</v>
      </c>
      <c r="M169" s="3">
        <f t="shared" si="5"/>
        <v>16</v>
      </c>
    </row>
    <row r="170" spans="1:13" x14ac:dyDescent="0.25">
      <c r="A170" t="s">
        <v>957</v>
      </c>
      <c r="B170" s="3">
        <v>4</v>
      </c>
      <c r="C170" t="s">
        <v>952</v>
      </c>
      <c r="D170" s="3">
        <v>2</v>
      </c>
      <c r="E170" t="s">
        <v>958</v>
      </c>
      <c r="F170" s="2">
        <v>4</v>
      </c>
      <c r="G170" t="s">
        <v>959</v>
      </c>
      <c r="H170" s="2">
        <v>4</v>
      </c>
      <c r="I170" t="s">
        <v>960</v>
      </c>
      <c r="J170" s="2">
        <v>3</v>
      </c>
      <c r="K170" t="s">
        <v>961</v>
      </c>
      <c r="M170" s="3">
        <f t="shared" si="5"/>
        <v>17</v>
      </c>
    </row>
    <row r="171" spans="1:13" x14ac:dyDescent="0.25">
      <c r="A171" t="s">
        <v>962</v>
      </c>
      <c r="B171" s="3">
        <v>4</v>
      </c>
      <c r="C171" t="s">
        <v>963</v>
      </c>
      <c r="D171" s="3">
        <v>1</v>
      </c>
      <c r="E171" t="s">
        <v>964</v>
      </c>
      <c r="F171" s="2">
        <v>1</v>
      </c>
      <c r="G171" t="s">
        <v>965</v>
      </c>
      <c r="H171" s="2">
        <v>4</v>
      </c>
      <c r="I171" t="s">
        <v>966</v>
      </c>
      <c r="J171" s="2">
        <v>3</v>
      </c>
      <c r="K171" t="s">
        <v>967</v>
      </c>
      <c r="M171" s="3">
        <f t="shared" si="5"/>
        <v>13</v>
      </c>
    </row>
    <row r="172" spans="1:13" x14ac:dyDescent="0.25">
      <c r="A172" t="s">
        <v>968</v>
      </c>
      <c r="B172" s="3">
        <v>5</v>
      </c>
      <c r="C172" t="s">
        <v>969</v>
      </c>
      <c r="D172" s="3">
        <v>2</v>
      </c>
      <c r="E172" t="s">
        <v>970</v>
      </c>
      <c r="F172" s="2">
        <v>4</v>
      </c>
      <c r="G172" t="s">
        <v>971</v>
      </c>
      <c r="H172" s="2">
        <v>4</v>
      </c>
      <c r="I172" t="s">
        <v>972</v>
      </c>
      <c r="J172" s="2">
        <v>2</v>
      </c>
      <c r="K172" t="s">
        <v>973</v>
      </c>
      <c r="M172" s="3">
        <f t="shared" si="5"/>
        <v>17</v>
      </c>
    </row>
    <row r="173" spans="1:13" x14ac:dyDescent="0.25">
      <c r="A173" t="s">
        <v>974</v>
      </c>
      <c r="B173" s="3">
        <v>5</v>
      </c>
      <c r="C173" t="s">
        <v>975</v>
      </c>
      <c r="D173" s="3">
        <v>5</v>
      </c>
      <c r="E173" t="s">
        <v>976</v>
      </c>
      <c r="F173" s="2">
        <v>5</v>
      </c>
      <c r="G173" t="s">
        <v>977</v>
      </c>
      <c r="H173" s="2">
        <v>5</v>
      </c>
      <c r="I173" t="s">
        <v>978</v>
      </c>
      <c r="J173" s="2">
        <v>2</v>
      </c>
      <c r="K173" t="s">
        <v>979</v>
      </c>
      <c r="M173" s="3">
        <f t="shared" si="5"/>
        <v>22</v>
      </c>
    </row>
    <row r="174" spans="1:13" x14ac:dyDescent="0.25">
      <c r="A174" t="s">
        <v>980</v>
      </c>
      <c r="B174" s="3">
        <v>5</v>
      </c>
      <c r="C174" t="s">
        <v>981</v>
      </c>
      <c r="D174" s="3">
        <v>1</v>
      </c>
      <c r="E174" t="s">
        <v>982</v>
      </c>
      <c r="F174" s="2">
        <v>4</v>
      </c>
      <c r="G174" t="s">
        <v>983</v>
      </c>
      <c r="H174" s="2">
        <v>4</v>
      </c>
      <c r="I174" t="s">
        <v>984</v>
      </c>
      <c r="J174" s="2">
        <v>3</v>
      </c>
      <c r="K174" t="s">
        <v>985</v>
      </c>
      <c r="M174" s="3">
        <f t="shared" si="5"/>
        <v>17</v>
      </c>
    </row>
    <row r="175" spans="1:13" x14ac:dyDescent="0.25">
      <c r="A175" t="s">
        <v>986</v>
      </c>
      <c r="B175" s="3">
        <v>4</v>
      </c>
      <c r="C175" t="s">
        <v>987</v>
      </c>
      <c r="D175" s="3">
        <v>1</v>
      </c>
      <c r="E175" t="s">
        <v>988</v>
      </c>
      <c r="F175" s="2">
        <v>4</v>
      </c>
      <c r="G175" t="s">
        <v>989</v>
      </c>
      <c r="H175" s="2">
        <v>5</v>
      </c>
      <c r="I175" t="s">
        <v>990</v>
      </c>
      <c r="J175" s="2">
        <v>2</v>
      </c>
      <c r="K175" t="s">
        <v>991</v>
      </c>
      <c r="M175" s="3">
        <f t="shared" si="5"/>
        <v>16</v>
      </c>
    </row>
    <row r="176" spans="1:13" x14ac:dyDescent="0.25">
      <c r="A176" t="s">
        <v>992</v>
      </c>
      <c r="B176" s="3">
        <v>4</v>
      </c>
      <c r="C176" t="s">
        <v>993</v>
      </c>
      <c r="D176" s="3">
        <v>1</v>
      </c>
      <c r="E176" t="s">
        <v>994</v>
      </c>
      <c r="F176" s="2">
        <v>3</v>
      </c>
      <c r="G176" t="s">
        <v>995</v>
      </c>
      <c r="H176" s="2">
        <v>3</v>
      </c>
      <c r="I176" t="s">
        <v>996</v>
      </c>
      <c r="J176" s="2">
        <v>3</v>
      </c>
      <c r="K176" t="s">
        <v>997</v>
      </c>
      <c r="M176" s="3">
        <f t="shared" si="5"/>
        <v>14</v>
      </c>
    </row>
    <row r="177" spans="1:13" x14ac:dyDescent="0.25">
      <c r="A177" t="s">
        <v>998</v>
      </c>
      <c r="B177" s="3">
        <v>4</v>
      </c>
      <c r="C177" t="s">
        <v>999</v>
      </c>
      <c r="D177" s="3">
        <v>1</v>
      </c>
      <c r="E177" t="s">
        <v>1000</v>
      </c>
      <c r="F177" s="2">
        <v>3</v>
      </c>
      <c r="G177" t="s">
        <v>1001</v>
      </c>
      <c r="H177" s="2">
        <v>4</v>
      </c>
      <c r="I177" t="s">
        <v>1002</v>
      </c>
      <c r="J177" s="2">
        <v>2</v>
      </c>
      <c r="K177" t="s">
        <v>1003</v>
      </c>
      <c r="M177" s="3">
        <f t="shared" si="5"/>
        <v>14</v>
      </c>
    </row>
    <row r="178" spans="1:13" x14ac:dyDescent="0.25">
      <c r="A178" t="s">
        <v>1004</v>
      </c>
      <c r="B178" s="3">
        <v>5</v>
      </c>
      <c r="C178" t="s">
        <v>1005</v>
      </c>
      <c r="D178" s="3">
        <v>1</v>
      </c>
      <c r="E178" t="s">
        <v>1006</v>
      </c>
      <c r="F178" s="2">
        <v>3</v>
      </c>
      <c r="G178" t="s">
        <v>1007</v>
      </c>
      <c r="H178" s="2">
        <v>4</v>
      </c>
      <c r="I178" t="s">
        <v>1008</v>
      </c>
      <c r="J178" s="2">
        <v>4</v>
      </c>
      <c r="K178" t="s">
        <v>1009</v>
      </c>
      <c r="M178" s="3">
        <f t="shared" si="5"/>
        <v>17</v>
      </c>
    </row>
    <row r="179" spans="1:13" x14ac:dyDescent="0.25">
      <c r="A179" t="s">
        <v>1010</v>
      </c>
      <c r="B179" s="3">
        <v>5</v>
      </c>
      <c r="C179" t="s">
        <v>1011</v>
      </c>
      <c r="D179" s="3">
        <v>2</v>
      </c>
      <c r="E179" t="s">
        <v>1012</v>
      </c>
      <c r="F179" s="2">
        <v>5</v>
      </c>
      <c r="G179" t="s">
        <v>1013</v>
      </c>
      <c r="H179" s="2">
        <v>5</v>
      </c>
      <c r="I179" t="s">
        <v>1014</v>
      </c>
      <c r="J179" s="2">
        <v>4</v>
      </c>
      <c r="K179" t="s">
        <v>1015</v>
      </c>
      <c r="M179" s="3">
        <f t="shared" si="5"/>
        <v>21</v>
      </c>
    </row>
    <row r="180" spans="1:13" x14ac:dyDescent="0.25">
      <c r="A180" t="s">
        <v>1016</v>
      </c>
      <c r="B180" s="3">
        <v>4</v>
      </c>
      <c r="C180" t="s">
        <v>1017</v>
      </c>
      <c r="D180" s="3">
        <v>1</v>
      </c>
      <c r="E180" t="s">
        <v>1018</v>
      </c>
      <c r="F180" s="2">
        <v>5</v>
      </c>
      <c r="G180" t="s">
        <v>1019</v>
      </c>
      <c r="H180" s="2">
        <v>4</v>
      </c>
      <c r="I180" t="s">
        <v>1020</v>
      </c>
      <c r="J180" s="2">
        <v>4</v>
      </c>
      <c r="K180" t="s">
        <v>1021</v>
      </c>
      <c r="M180" s="3">
        <f t="shared" si="5"/>
        <v>18</v>
      </c>
    </row>
    <row r="181" spans="1:13" x14ac:dyDescent="0.25">
      <c r="A181" t="s">
        <v>1022</v>
      </c>
      <c r="B181" s="3">
        <v>5</v>
      </c>
      <c r="C181" t="s">
        <v>1023</v>
      </c>
      <c r="D181" s="3">
        <v>1</v>
      </c>
      <c r="E181" t="s">
        <v>1024</v>
      </c>
      <c r="F181" s="2">
        <v>3</v>
      </c>
      <c r="G181" t="s">
        <v>1025</v>
      </c>
      <c r="H181" s="2">
        <v>1</v>
      </c>
      <c r="I181" t="s">
        <v>1026</v>
      </c>
      <c r="J181" s="2">
        <v>4</v>
      </c>
      <c r="K181" t="s">
        <v>1027</v>
      </c>
      <c r="M181" s="3">
        <f t="shared" si="5"/>
        <v>14</v>
      </c>
    </row>
    <row r="182" spans="1:13" x14ac:dyDescent="0.25">
      <c r="A182" t="s">
        <v>1028</v>
      </c>
      <c r="B182" s="3">
        <v>4</v>
      </c>
      <c r="C182" t="s">
        <v>1029</v>
      </c>
      <c r="D182" s="3">
        <v>1</v>
      </c>
      <c r="E182" t="s">
        <v>1030</v>
      </c>
      <c r="F182" s="2">
        <v>3</v>
      </c>
      <c r="G182" t="s">
        <v>1031</v>
      </c>
      <c r="H182" s="2">
        <v>4</v>
      </c>
      <c r="I182" t="s">
        <v>1032</v>
      </c>
      <c r="J182" s="2">
        <v>3</v>
      </c>
      <c r="K182" t="s">
        <v>1033</v>
      </c>
      <c r="M182" s="3">
        <f t="shared" si="5"/>
        <v>15</v>
      </c>
    </row>
    <row r="183" spans="1:13" x14ac:dyDescent="0.25">
      <c r="A183" t="s">
        <v>1034</v>
      </c>
      <c r="B183" s="3">
        <v>4</v>
      </c>
      <c r="C183" t="s">
        <v>1035</v>
      </c>
      <c r="D183" s="3">
        <v>3</v>
      </c>
      <c r="E183" t="s">
        <v>1036</v>
      </c>
      <c r="F183" s="2">
        <v>4</v>
      </c>
      <c r="G183" t="s">
        <v>1037</v>
      </c>
      <c r="H183" s="2">
        <v>3</v>
      </c>
      <c r="I183" t="s">
        <v>1038</v>
      </c>
      <c r="J183" s="2">
        <v>2</v>
      </c>
      <c r="K183" t="s">
        <v>1039</v>
      </c>
      <c r="M183" s="3">
        <f t="shared" si="5"/>
        <v>16</v>
      </c>
    </row>
    <row r="184" spans="1:13" x14ac:dyDescent="0.25">
      <c r="A184" t="s">
        <v>1040</v>
      </c>
      <c r="B184" s="3">
        <v>5</v>
      </c>
      <c r="C184" t="s">
        <v>1041</v>
      </c>
      <c r="D184" s="3">
        <v>3</v>
      </c>
      <c r="E184" t="s">
        <v>1042</v>
      </c>
      <c r="F184" s="2">
        <v>5</v>
      </c>
      <c r="G184" t="s">
        <v>1043</v>
      </c>
      <c r="H184" s="2">
        <v>4</v>
      </c>
      <c r="I184" t="s">
        <v>1044</v>
      </c>
      <c r="J184" s="2">
        <v>4</v>
      </c>
      <c r="K184" t="s">
        <v>1045</v>
      </c>
      <c r="M184" s="3">
        <f t="shared" si="5"/>
        <v>21</v>
      </c>
    </row>
    <row r="185" spans="1:13" x14ac:dyDescent="0.25">
      <c r="A185" t="s">
        <v>1046</v>
      </c>
      <c r="B185" s="3">
        <v>4</v>
      </c>
      <c r="C185" t="s">
        <v>1047</v>
      </c>
      <c r="D185" s="3">
        <v>1</v>
      </c>
      <c r="E185" t="s">
        <v>1048</v>
      </c>
      <c r="F185" s="2">
        <v>4</v>
      </c>
      <c r="G185" t="s">
        <v>1049</v>
      </c>
      <c r="H185" s="2">
        <v>3</v>
      </c>
      <c r="I185" t="s">
        <v>1050</v>
      </c>
      <c r="J185" s="2">
        <v>3</v>
      </c>
      <c r="K185" t="s">
        <v>1051</v>
      </c>
      <c r="M185" s="3">
        <f t="shared" si="5"/>
        <v>15</v>
      </c>
    </row>
    <row r="186" spans="1:13" x14ac:dyDescent="0.25">
      <c r="A186" t="s">
        <v>1052</v>
      </c>
      <c r="B186" s="3">
        <v>5</v>
      </c>
      <c r="C186" t="s">
        <v>1053</v>
      </c>
      <c r="D186" s="3">
        <v>1</v>
      </c>
      <c r="E186" t="s">
        <v>1054</v>
      </c>
      <c r="F186" s="2">
        <v>4</v>
      </c>
      <c r="G186" t="s">
        <v>1055</v>
      </c>
      <c r="H186" s="2">
        <v>3</v>
      </c>
      <c r="I186" t="s">
        <v>1056</v>
      </c>
      <c r="J186" s="2">
        <v>4</v>
      </c>
      <c r="K186" t="s">
        <v>1057</v>
      </c>
      <c r="M186" s="3">
        <f t="shared" si="5"/>
        <v>17</v>
      </c>
    </row>
    <row r="187" spans="1:13" x14ac:dyDescent="0.25">
      <c r="A187" t="s">
        <v>1058</v>
      </c>
      <c r="B187" s="3">
        <v>3</v>
      </c>
      <c r="C187" t="s">
        <v>1059</v>
      </c>
      <c r="D187" s="3">
        <v>0</v>
      </c>
      <c r="E187" t="s">
        <v>1060</v>
      </c>
      <c r="F187" s="2">
        <v>1</v>
      </c>
      <c r="G187" t="s">
        <v>1061</v>
      </c>
      <c r="H187" s="2">
        <v>3</v>
      </c>
      <c r="I187" t="s">
        <v>1062</v>
      </c>
      <c r="J187" s="2">
        <v>2</v>
      </c>
      <c r="K187" t="s">
        <v>1063</v>
      </c>
      <c r="M187" s="3">
        <f t="shared" si="5"/>
        <v>9</v>
      </c>
    </row>
    <row r="188" spans="1:13" x14ac:dyDescent="0.25">
      <c r="A188" t="s">
        <v>1064</v>
      </c>
      <c r="B188" s="3">
        <v>5</v>
      </c>
      <c r="C188" t="s">
        <v>1065</v>
      </c>
      <c r="D188" s="3">
        <v>1</v>
      </c>
      <c r="E188" t="s">
        <v>1066</v>
      </c>
      <c r="F188" s="2">
        <v>3</v>
      </c>
      <c r="G188" t="s">
        <v>1067</v>
      </c>
      <c r="H188" s="2">
        <v>5</v>
      </c>
      <c r="I188" t="s">
        <v>1068</v>
      </c>
      <c r="J188" s="2">
        <v>3</v>
      </c>
      <c r="K188" t="s">
        <v>1069</v>
      </c>
      <c r="M188" s="3">
        <f t="shared" si="5"/>
        <v>17</v>
      </c>
    </row>
    <row r="189" spans="1:13" x14ac:dyDescent="0.25">
      <c r="A189" t="s">
        <v>1070</v>
      </c>
      <c r="B189" s="3">
        <v>4</v>
      </c>
      <c r="C189" t="s">
        <v>1071</v>
      </c>
      <c r="D189" s="3">
        <v>1</v>
      </c>
      <c r="E189" t="s">
        <v>1030</v>
      </c>
      <c r="F189" s="2">
        <v>3</v>
      </c>
      <c r="G189" t="s">
        <v>1072</v>
      </c>
      <c r="H189" s="2">
        <v>2</v>
      </c>
      <c r="I189" t="s">
        <v>1073</v>
      </c>
      <c r="J189" s="2">
        <v>3</v>
      </c>
      <c r="K189" t="s">
        <v>1074</v>
      </c>
      <c r="M189" s="3">
        <f t="shared" si="5"/>
        <v>13</v>
      </c>
    </row>
    <row r="190" spans="1:13" x14ac:dyDescent="0.25">
      <c r="A190" t="s">
        <v>1075</v>
      </c>
      <c r="B190" s="3">
        <v>5</v>
      </c>
      <c r="C190" t="s">
        <v>1076</v>
      </c>
      <c r="D190" s="3">
        <v>0</v>
      </c>
      <c r="E190" t="s">
        <v>1077</v>
      </c>
      <c r="F190" s="2">
        <v>4</v>
      </c>
      <c r="G190" t="s">
        <v>1078</v>
      </c>
      <c r="H190" s="2">
        <v>1</v>
      </c>
      <c r="I190" t="s">
        <v>1079</v>
      </c>
      <c r="J190" s="2">
        <v>5</v>
      </c>
      <c r="K190" t="s">
        <v>1080</v>
      </c>
      <c r="M190" s="3">
        <f t="shared" si="5"/>
        <v>15</v>
      </c>
    </row>
    <row r="191" spans="1:13" x14ac:dyDescent="0.25">
      <c r="A191" t="s">
        <v>1081</v>
      </c>
      <c r="B191" s="3">
        <v>3</v>
      </c>
      <c r="C191" t="s">
        <v>1082</v>
      </c>
      <c r="D191" s="3">
        <v>0</v>
      </c>
      <c r="E191" t="s">
        <v>1083</v>
      </c>
      <c r="F191" s="2">
        <v>1</v>
      </c>
      <c r="G191" t="s">
        <v>1084</v>
      </c>
      <c r="H191" s="2">
        <v>5</v>
      </c>
      <c r="I191" t="s">
        <v>1085</v>
      </c>
      <c r="J191" s="2">
        <v>2</v>
      </c>
      <c r="K191" t="s">
        <v>1086</v>
      </c>
      <c r="M191" s="3">
        <f t="shared" si="5"/>
        <v>11</v>
      </c>
    </row>
    <row r="192" spans="1:13" x14ac:dyDescent="0.25">
      <c r="A192" t="s">
        <v>1087</v>
      </c>
      <c r="B192" s="3">
        <v>4</v>
      </c>
      <c r="C192" t="s">
        <v>1088</v>
      </c>
      <c r="D192" s="3">
        <v>2</v>
      </c>
      <c r="E192" t="s">
        <v>1089</v>
      </c>
      <c r="F192" s="2">
        <v>4</v>
      </c>
      <c r="G192" t="s">
        <v>1090</v>
      </c>
      <c r="H192" s="2">
        <v>4</v>
      </c>
      <c r="I192" t="s">
        <v>1091</v>
      </c>
      <c r="J192" s="2">
        <v>3</v>
      </c>
      <c r="K192" t="s">
        <v>1092</v>
      </c>
      <c r="M192" s="3">
        <f t="shared" si="5"/>
        <v>17</v>
      </c>
    </row>
    <row r="193" spans="1:13" x14ac:dyDescent="0.25">
      <c r="A193" t="s">
        <v>1093</v>
      </c>
      <c r="B193" s="3">
        <v>5</v>
      </c>
      <c r="C193" t="s">
        <v>1094</v>
      </c>
      <c r="D193" s="3">
        <v>3</v>
      </c>
      <c r="E193" t="s">
        <v>1095</v>
      </c>
      <c r="F193" s="2">
        <v>5</v>
      </c>
      <c r="G193" t="s">
        <v>1098</v>
      </c>
      <c r="H193" s="2">
        <v>3</v>
      </c>
      <c r="I193" t="s">
        <v>1096</v>
      </c>
      <c r="J193" s="2">
        <v>2</v>
      </c>
      <c r="K193" t="s">
        <v>1097</v>
      </c>
      <c r="M193" s="3">
        <f t="shared" si="5"/>
        <v>18</v>
      </c>
    </row>
    <row r="194" spans="1:13" x14ac:dyDescent="0.25">
      <c r="A194" t="s">
        <v>1099</v>
      </c>
      <c r="B194" s="3">
        <v>5</v>
      </c>
      <c r="C194" t="s">
        <v>1100</v>
      </c>
      <c r="D194" s="3">
        <v>0</v>
      </c>
      <c r="E194" t="s">
        <v>1101</v>
      </c>
      <c r="F194" s="2">
        <v>4</v>
      </c>
      <c r="G194" t="s">
        <v>1102</v>
      </c>
      <c r="H194" s="2">
        <v>1</v>
      </c>
      <c r="I194" t="s">
        <v>1103</v>
      </c>
      <c r="J194" s="2">
        <v>5</v>
      </c>
      <c r="K194" t="s">
        <v>1104</v>
      </c>
      <c r="M194" s="3">
        <f t="shared" si="5"/>
        <v>15</v>
      </c>
    </row>
    <row r="195" spans="1:13" x14ac:dyDescent="0.25">
      <c r="A195" s="9" t="s">
        <v>1108</v>
      </c>
      <c r="B195" s="8">
        <f>AVERAGE(B2:B194)</f>
        <v>4.3678756476683942</v>
      </c>
      <c r="C195" s="10" t="s">
        <v>1109</v>
      </c>
      <c r="D195" s="8">
        <f>AVERAGE(D2:D194)</f>
        <v>1.7979274611398963</v>
      </c>
      <c r="E195" s="10" t="s">
        <v>1110</v>
      </c>
      <c r="F195" s="11">
        <f>AVERAGE(F2:F194)</f>
        <v>2.7150259067357512</v>
      </c>
      <c r="G195" s="9" t="s">
        <v>1111</v>
      </c>
      <c r="H195" s="11">
        <f>AVERAGE(H2:H194)</f>
        <v>2.7150259067357512</v>
      </c>
      <c r="I195" s="9" t="s">
        <v>1112</v>
      </c>
      <c r="J195" s="12">
        <f>AVERAGE(J2:J194)</f>
        <v>3.6062176165803108</v>
      </c>
      <c r="L195" s="9" t="s">
        <v>1113</v>
      </c>
      <c r="M195" s="8">
        <f>AVERAGE(M2:M194)</f>
        <v>15.202072538860104</v>
      </c>
    </row>
    <row r="196" spans="1:13" x14ac:dyDescent="0.25">
      <c r="L196" s="9" t="s">
        <v>1107</v>
      </c>
      <c r="M196" s="8">
        <f>_xlfn.STDEV.S(M2:M194)</f>
        <v>4.6464139235411839</v>
      </c>
    </row>
    <row r="197" spans="1:13" x14ac:dyDescent="0.25">
      <c r="L197" t="s">
        <v>1114</v>
      </c>
      <c r="M197">
        <f>COUNTIFS(M2:M194, "&gt;=21", M2:M194, "&lt;=25")</f>
        <v>30</v>
      </c>
    </row>
    <row r="198" spans="1:13" x14ac:dyDescent="0.25">
      <c r="L198" t="s">
        <v>1115</v>
      </c>
      <c r="M198">
        <f>COUNTIFS(M2:M194, "&gt;=16", M2:M194, "&lt;=20")</f>
        <v>68</v>
      </c>
    </row>
    <row r="199" spans="1:13" x14ac:dyDescent="0.25">
      <c r="L199" t="s">
        <v>1116</v>
      </c>
      <c r="M199">
        <f>COUNTIFS(M2:M194, "&gt;=11", M2:M194, "&lt;=15")</f>
        <v>39</v>
      </c>
    </row>
    <row r="200" spans="1:13" x14ac:dyDescent="0.25">
      <c r="L200" t="s">
        <v>1117</v>
      </c>
      <c r="M200">
        <f>COUNTIFS(M2:M194, "&gt;=6", M2:M194, "&lt;=10")</f>
        <v>56</v>
      </c>
    </row>
    <row r="201" spans="1:13" x14ac:dyDescent="0.25">
      <c r="L201" t="s">
        <v>1118</v>
      </c>
      <c r="M201">
        <f>COUNTIFS(M2:M194, "&gt;=0", M2:M194, "&lt;=5")</f>
        <v>0</v>
      </c>
    </row>
    <row r="202" spans="1:13" x14ac:dyDescent="0.25">
      <c r="L202" s="9" t="s">
        <v>1105</v>
      </c>
      <c r="M202">
        <f>SUM(M197:M201)</f>
        <v>193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0F207-C3AE-4C5F-A168-7F2647EFA7F1}">
  <dimension ref="A1:B22"/>
  <sheetViews>
    <sheetView workbookViewId="0">
      <selection activeCell="B5" sqref="B5"/>
    </sheetView>
  </sheetViews>
  <sheetFormatPr baseColWidth="10" defaultRowHeight="15" x14ac:dyDescent="0.25"/>
  <cols>
    <col min="1" max="1" width="99.85546875" bestFit="1" customWidth="1"/>
    <col min="2" max="2" width="129.5703125" customWidth="1"/>
  </cols>
  <sheetData>
    <row r="1" spans="1:2" x14ac:dyDescent="0.25">
      <c r="A1" s="24" t="s">
        <v>1119</v>
      </c>
      <c r="B1" s="24" t="s">
        <v>1120</v>
      </c>
    </row>
    <row r="2" spans="1:2" ht="45" x14ac:dyDescent="0.25">
      <c r="A2" s="15" t="s">
        <v>1121</v>
      </c>
      <c r="B2" s="14" t="s">
        <v>1122</v>
      </c>
    </row>
    <row r="3" spans="1:2" ht="45" x14ac:dyDescent="0.25">
      <c r="A3" s="15"/>
      <c r="B3" s="14" t="s">
        <v>1123</v>
      </c>
    </row>
    <row r="4" spans="1:2" ht="30" x14ac:dyDescent="0.25">
      <c r="A4" s="15"/>
      <c r="B4" s="14" t="s">
        <v>1124</v>
      </c>
    </row>
    <row r="5" spans="1:2" ht="30" x14ac:dyDescent="0.25">
      <c r="A5" s="15"/>
      <c r="B5" s="14" t="s">
        <v>1125</v>
      </c>
    </row>
    <row r="6" spans="1:2" ht="30" x14ac:dyDescent="0.25">
      <c r="A6" s="16" t="s">
        <v>1126</v>
      </c>
      <c r="B6" s="17" t="s">
        <v>1127</v>
      </c>
    </row>
    <row r="7" spans="1:2" ht="45" x14ac:dyDescent="0.25">
      <c r="A7" s="16"/>
      <c r="B7" s="17" t="s">
        <v>1128</v>
      </c>
    </row>
    <row r="8" spans="1:2" ht="30" x14ac:dyDescent="0.25">
      <c r="A8" s="16"/>
      <c r="B8" s="17" t="s">
        <v>1129</v>
      </c>
    </row>
    <row r="9" spans="1:2" ht="30" x14ac:dyDescent="0.25">
      <c r="A9" s="16"/>
      <c r="B9" s="17" t="s">
        <v>1130</v>
      </c>
    </row>
    <row r="10" spans="1:2" ht="45" x14ac:dyDescent="0.25">
      <c r="A10" s="18" t="s">
        <v>1131</v>
      </c>
      <c r="B10" s="19" t="s">
        <v>1132</v>
      </c>
    </row>
    <row r="11" spans="1:2" ht="45" x14ac:dyDescent="0.25">
      <c r="A11" s="18"/>
      <c r="B11" s="19" t="s">
        <v>1133</v>
      </c>
    </row>
    <row r="12" spans="1:2" ht="30" x14ac:dyDescent="0.25">
      <c r="A12" s="18"/>
      <c r="B12" s="19" t="s">
        <v>1134</v>
      </c>
    </row>
    <row r="13" spans="1:2" ht="30" x14ac:dyDescent="0.25">
      <c r="A13" s="18"/>
      <c r="B13" s="19" t="s">
        <v>1135</v>
      </c>
    </row>
    <row r="14" spans="1:2" ht="45" x14ac:dyDescent="0.25">
      <c r="A14" s="20" t="s">
        <v>1136</v>
      </c>
      <c r="B14" s="21" t="s">
        <v>1137</v>
      </c>
    </row>
    <row r="15" spans="1:2" ht="45" x14ac:dyDescent="0.25">
      <c r="A15" s="20"/>
      <c r="B15" s="21" t="s">
        <v>1146</v>
      </c>
    </row>
    <row r="16" spans="1:2" ht="45" x14ac:dyDescent="0.25">
      <c r="A16" s="20"/>
      <c r="B16" s="21" t="s">
        <v>1138</v>
      </c>
    </row>
    <row r="17" spans="1:2" ht="30" x14ac:dyDescent="0.25">
      <c r="A17" s="20"/>
      <c r="B17" s="21" t="s">
        <v>1139</v>
      </c>
    </row>
    <row r="18" spans="1:2" ht="30" x14ac:dyDescent="0.25">
      <c r="A18" s="22" t="s">
        <v>1140</v>
      </c>
      <c r="B18" s="23" t="s">
        <v>1141</v>
      </c>
    </row>
    <row r="19" spans="1:2" ht="45" x14ac:dyDescent="0.25">
      <c r="A19" s="22"/>
      <c r="B19" s="23" t="s">
        <v>1142</v>
      </c>
    </row>
    <row r="20" spans="1:2" ht="30" x14ac:dyDescent="0.25">
      <c r="A20" s="22"/>
      <c r="B20" s="23" t="s">
        <v>1143</v>
      </c>
    </row>
    <row r="21" spans="1:2" ht="30" x14ac:dyDescent="0.25">
      <c r="A21" s="22"/>
      <c r="B21" s="23" t="s">
        <v>1144</v>
      </c>
    </row>
    <row r="22" spans="1:2" x14ac:dyDescent="0.25">
      <c r="A22" s="13" t="s">
        <v>1145</v>
      </c>
    </row>
  </sheetData>
  <mergeCells count="5">
    <mergeCell ref="A2:A5"/>
    <mergeCell ref="A6:A9"/>
    <mergeCell ref="A10:A13"/>
    <mergeCell ref="A14:A17"/>
    <mergeCell ref="A18:A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Evaluación individual</vt:lpstr>
      <vt:lpstr>Rúbrica de puntuación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 Alex Ivan Llumitaxi Espin</dc:creator>
  <cp:lastModifiedBy>Alex Iván Llumitaxi Espín</cp:lastModifiedBy>
  <dcterms:created xsi:type="dcterms:W3CDTF">2025-10-06T16:47:42Z</dcterms:created>
  <dcterms:modified xsi:type="dcterms:W3CDTF">2025-10-15T16:49:52Z</dcterms:modified>
</cp:coreProperties>
</file>